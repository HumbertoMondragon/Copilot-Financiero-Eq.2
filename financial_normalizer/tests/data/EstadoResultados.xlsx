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mbe\Copilot-Financiero-Eq.2\financial_normalizer\tests\data\"/>
    </mc:Choice>
  </mc:AlternateContent>
  <xr:revisionPtr revIDLastSave="0" documentId="8_{48665338-249C-45A3-8CA2-66A0C241CD17}" xr6:coauthVersionLast="47" xr6:coauthVersionMax="47" xr10:uidLastSave="{00000000-0000-0000-0000-000000000000}"/>
  <bookViews>
    <workbookView xWindow="-120" yWindow="-120" windowWidth="29040" windowHeight="15720" xr2:uid="{7E8ED9E7-5BF4-44FE-95DE-663370024D42}"/>
  </bookViews>
  <sheets>
    <sheet name="ER nivel 2 2026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I5" i="1"/>
  <c r="N5" i="1" s="1"/>
  <c r="J5" i="1"/>
  <c r="K5" i="1"/>
  <c r="L5" i="1"/>
  <c r="M5" i="1"/>
  <c r="M50" i="1" s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A7" i="1"/>
  <c r="B7" i="1"/>
  <c r="C7" i="1"/>
  <c r="D7" i="1"/>
  <c r="E7" i="1"/>
  <c r="F7" i="1"/>
  <c r="G7" i="1"/>
  <c r="H7" i="1"/>
  <c r="I7" i="1"/>
  <c r="J7" i="1"/>
  <c r="K7" i="1"/>
  <c r="L7" i="1"/>
  <c r="M7" i="1"/>
  <c r="A8" i="1"/>
  <c r="B8" i="1"/>
  <c r="C8" i="1"/>
  <c r="D8" i="1"/>
  <c r="E8" i="1"/>
  <c r="F8" i="1"/>
  <c r="G8" i="1"/>
  <c r="H8" i="1"/>
  <c r="I8" i="1"/>
  <c r="J8" i="1"/>
  <c r="K8" i="1"/>
  <c r="L8" i="1"/>
  <c r="M8" i="1"/>
  <c r="A9" i="1"/>
  <c r="B9" i="1"/>
  <c r="C9" i="1"/>
  <c r="D9" i="1"/>
  <c r="E9" i="1"/>
  <c r="F9" i="1"/>
  <c r="G9" i="1"/>
  <c r="H9" i="1"/>
  <c r="I9" i="1"/>
  <c r="J9" i="1"/>
  <c r="K9" i="1"/>
  <c r="L9" i="1"/>
  <c r="M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A13" i="1"/>
  <c r="B13" i="1"/>
  <c r="C13" i="1"/>
  <c r="D13" i="1"/>
  <c r="N13" i="1" s="1"/>
  <c r="E13" i="1"/>
  <c r="F13" i="1"/>
  <c r="G13" i="1"/>
  <c r="H13" i="1"/>
  <c r="I13" i="1"/>
  <c r="J13" i="1"/>
  <c r="K13" i="1"/>
  <c r="L13" i="1"/>
  <c r="M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A18" i="1"/>
  <c r="B18" i="1"/>
  <c r="N18" i="1" s="1"/>
  <c r="C18" i="1"/>
  <c r="D18" i="1"/>
  <c r="E18" i="1"/>
  <c r="F18" i="1"/>
  <c r="G18" i="1"/>
  <c r="H18" i="1"/>
  <c r="I18" i="1"/>
  <c r="J18" i="1"/>
  <c r="K18" i="1"/>
  <c r="L18" i="1"/>
  <c r="M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 s="1"/>
  <c r="A21" i="1"/>
  <c r="B21" i="1"/>
  <c r="N21" i="1" s="1"/>
  <c r="C21" i="1"/>
  <c r="D21" i="1"/>
  <c r="E21" i="1"/>
  <c r="F21" i="1"/>
  <c r="G21" i="1"/>
  <c r="H21" i="1"/>
  <c r="I21" i="1"/>
  <c r="J21" i="1"/>
  <c r="K21" i="1"/>
  <c r="L21" i="1"/>
  <c r="M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 s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 s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 s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 s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 s="1"/>
  <c r="N45" i="1"/>
  <c r="N46" i="1"/>
  <c r="N47" i="1"/>
  <c r="A54" i="1"/>
  <c r="B54" i="1"/>
  <c r="C54" i="1"/>
  <c r="D54" i="1"/>
  <c r="N54" i="1" s="1"/>
  <c r="E54" i="1"/>
  <c r="F54" i="1"/>
  <c r="G54" i="1"/>
  <c r="H54" i="1"/>
  <c r="I54" i="1"/>
  <c r="J54" i="1"/>
  <c r="K54" i="1"/>
  <c r="L54" i="1"/>
  <c r="M54" i="1"/>
  <c r="M99" i="1" s="1"/>
  <c r="M100" i="1" s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 s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A59" i="1"/>
  <c r="B59" i="1"/>
  <c r="N59" i="1" s="1"/>
  <c r="C59" i="1"/>
  <c r="D59" i="1"/>
  <c r="E59" i="1"/>
  <c r="F59" i="1"/>
  <c r="G59" i="1"/>
  <c r="H59" i="1"/>
  <c r="I59" i="1"/>
  <c r="J59" i="1"/>
  <c r="K59" i="1"/>
  <c r="L59" i="1"/>
  <c r="M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 s="1"/>
  <c r="A62" i="1"/>
  <c r="B62" i="1"/>
  <c r="N62" i="1" s="1"/>
  <c r="C62" i="1"/>
  <c r="D62" i="1"/>
  <c r="E62" i="1"/>
  <c r="F62" i="1"/>
  <c r="G62" i="1"/>
  <c r="H62" i="1"/>
  <c r="I62" i="1"/>
  <c r="J62" i="1"/>
  <c r="K62" i="1"/>
  <c r="L62" i="1"/>
  <c r="M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 s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 s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 s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 s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 s="1"/>
  <c r="A86" i="1"/>
  <c r="B86" i="1"/>
  <c r="N86" i="1" s="1"/>
  <c r="C86" i="1"/>
  <c r="D86" i="1"/>
  <c r="E86" i="1"/>
  <c r="F86" i="1"/>
  <c r="G86" i="1"/>
  <c r="H86" i="1"/>
  <c r="I86" i="1"/>
  <c r="J86" i="1"/>
  <c r="K86" i="1"/>
  <c r="L86" i="1"/>
  <c r="M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 s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A90" i="1"/>
  <c r="B90" i="1"/>
  <c r="C90" i="1"/>
  <c r="N90" i="1" s="1"/>
  <c r="D90" i="1"/>
  <c r="E90" i="1"/>
  <c r="F90" i="1"/>
  <c r="G90" i="1"/>
  <c r="H90" i="1"/>
  <c r="I90" i="1"/>
  <c r="J90" i="1"/>
  <c r="K90" i="1"/>
  <c r="L90" i="1"/>
  <c r="M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 s="1"/>
  <c r="N94" i="1"/>
  <c r="N95" i="1"/>
  <c r="N96" i="1"/>
  <c r="N97" i="1"/>
  <c r="M102" i="1" l="1"/>
  <c r="D50" i="1"/>
  <c r="B50" i="1"/>
  <c r="N66" i="1"/>
  <c r="N25" i="1"/>
  <c r="F50" i="1"/>
  <c r="C50" i="1"/>
  <c r="N76" i="1"/>
  <c r="N35" i="1"/>
  <c r="N32" i="1"/>
  <c r="H50" i="1"/>
  <c r="E50" i="1"/>
  <c r="N73" i="1"/>
  <c r="N11" i="1"/>
  <c r="J50" i="1"/>
  <c r="J102" i="1" s="1"/>
  <c r="G50" i="1"/>
  <c r="G102" i="1" s="1"/>
  <c r="N8" i="1"/>
  <c r="N91" i="1"/>
  <c r="L50" i="1"/>
  <c r="I50" i="1"/>
  <c r="J105" i="1"/>
  <c r="N67" i="1"/>
  <c r="D99" i="1"/>
  <c r="B99" i="1"/>
  <c r="B100" i="1" s="1"/>
  <c r="N26" i="1"/>
  <c r="K50" i="1"/>
  <c r="K102" i="1" s="1"/>
  <c r="N74" i="1"/>
  <c r="N72" i="1"/>
  <c r="F99" i="1"/>
  <c r="F100" i="1" s="1"/>
  <c r="C99" i="1"/>
  <c r="C100" i="1" s="1"/>
  <c r="N33" i="1"/>
  <c r="N31" i="1"/>
  <c r="N84" i="1"/>
  <c r="H99" i="1"/>
  <c r="E99" i="1"/>
  <c r="N43" i="1"/>
  <c r="N40" i="1"/>
  <c r="N81" i="1"/>
  <c r="N60" i="1"/>
  <c r="J99" i="1"/>
  <c r="G99" i="1"/>
  <c r="N19" i="1"/>
  <c r="N16" i="1"/>
  <c r="N9" i="1"/>
  <c r="L99" i="1"/>
  <c r="L100" i="1" s="1"/>
  <c r="I99" i="1"/>
  <c r="I100" i="1" s="1"/>
  <c r="N57" i="1"/>
  <c r="N75" i="1"/>
  <c r="K99" i="1"/>
  <c r="N34" i="1"/>
  <c r="N7" i="1"/>
  <c r="N82" i="1"/>
  <c r="N80" i="1"/>
  <c r="N41" i="1"/>
  <c r="N39" i="1"/>
  <c r="N10" i="1"/>
  <c r="M106" i="1"/>
  <c r="N92" i="1"/>
  <c r="N58" i="1"/>
  <c r="N56" i="1"/>
  <c r="N15" i="1"/>
  <c r="N89" i="1"/>
  <c r="N68" i="1"/>
  <c r="N27" i="1"/>
  <c r="N24" i="1"/>
  <c r="N17" i="1"/>
  <c r="N65" i="1"/>
  <c r="N83" i="1"/>
  <c r="N42" i="1"/>
  <c r="H102" i="1"/>
  <c r="E102" i="1"/>
  <c r="L102" i="1"/>
  <c r="I102" i="1"/>
  <c r="D100" i="1"/>
  <c r="M103" i="1"/>
  <c r="N99" i="1"/>
  <c r="J123" i="1"/>
  <c r="D119" i="1"/>
  <c r="D121" i="1" s="1"/>
  <c r="E109" i="1"/>
  <c r="B108" i="1"/>
  <c r="L106" i="1"/>
  <c r="I105" i="1"/>
  <c r="I123" i="1"/>
  <c r="C119" i="1"/>
  <c r="C121" i="1" s="1"/>
  <c r="D109" i="1"/>
  <c r="K106" i="1"/>
  <c r="H105" i="1"/>
  <c r="H123" i="1"/>
  <c r="B119" i="1"/>
  <c r="C109" i="1"/>
  <c r="M107" i="1"/>
  <c r="J106" i="1"/>
  <c r="J112" i="1" s="1"/>
  <c r="J113" i="1" s="1"/>
  <c r="G105" i="1"/>
  <c r="G123" i="1"/>
  <c r="B109" i="1"/>
  <c r="L107" i="1"/>
  <c r="I106" i="1"/>
  <c r="F105" i="1"/>
  <c r="F112" i="1" s="1"/>
  <c r="F113" i="1" s="1"/>
  <c r="F123" i="1"/>
  <c r="K107" i="1"/>
  <c r="H106" i="1"/>
  <c r="E105" i="1"/>
  <c r="E123" i="1"/>
  <c r="M108" i="1"/>
  <c r="J107" i="1"/>
  <c r="G106" i="1"/>
  <c r="D105" i="1"/>
  <c r="D123" i="1"/>
  <c r="L108" i="1"/>
  <c r="I107" i="1"/>
  <c r="F106" i="1"/>
  <c r="C105" i="1"/>
  <c r="C112" i="1" s="1"/>
  <c r="C113" i="1" s="1"/>
  <c r="C123" i="1"/>
  <c r="M119" i="1"/>
  <c r="M121" i="1" s="1"/>
  <c r="K108" i="1"/>
  <c r="H107" i="1"/>
  <c r="E106" i="1"/>
  <c r="B105" i="1"/>
  <c r="B123" i="1"/>
  <c r="L119" i="1"/>
  <c r="L121" i="1" s="1"/>
  <c r="M109" i="1"/>
  <c r="J108" i="1"/>
  <c r="G107" i="1"/>
  <c r="D106" i="1"/>
  <c r="K119" i="1"/>
  <c r="K121" i="1" s="1"/>
  <c r="L109" i="1"/>
  <c r="I108" i="1"/>
  <c r="F107" i="1"/>
  <c r="C106" i="1"/>
  <c r="J119" i="1"/>
  <c r="J121" i="1" s="1"/>
  <c r="K109" i="1"/>
  <c r="H108" i="1"/>
  <c r="E107" i="1"/>
  <c r="B106" i="1"/>
  <c r="I119" i="1"/>
  <c r="I121" i="1" s="1"/>
  <c r="J109" i="1"/>
  <c r="G108" i="1"/>
  <c r="D107" i="1"/>
  <c r="H119" i="1"/>
  <c r="H121" i="1" s="1"/>
  <c r="I109" i="1"/>
  <c r="F108" i="1"/>
  <c r="C107" i="1"/>
  <c r="M105" i="1"/>
  <c r="M112" i="1" s="1"/>
  <c r="M113" i="1" s="1"/>
  <c r="M123" i="1"/>
  <c r="G119" i="1"/>
  <c r="G121" i="1" s="1"/>
  <c r="H109" i="1"/>
  <c r="E108" i="1"/>
  <c r="B107" i="1"/>
  <c r="L105" i="1"/>
  <c r="L123" i="1"/>
  <c r="F119" i="1"/>
  <c r="F121" i="1" s="1"/>
  <c r="G109" i="1"/>
  <c r="D108" i="1"/>
  <c r="K105" i="1"/>
  <c r="K123" i="1"/>
  <c r="E119" i="1"/>
  <c r="E121" i="1" s="1"/>
  <c r="F109" i="1"/>
  <c r="C108" i="1"/>
  <c r="N106" i="1" l="1"/>
  <c r="E112" i="1"/>
  <c r="E113" i="1" s="1"/>
  <c r="L112" i="1"/>
  <c r="L113" i="1" s="1"/>
  <c r="I112" i="1"/>
  <c r="I113" i="1" s="1"/>
  <c r="G100" i="1"/>
  <c r="J100" i="1"/>
  <c r="C102" i="1"/>
  <c r="C103" i="1" s="1"/>
  <c r="F102" i="1"/>
  <c r="F103" i="1" s="1"/>
  <c r="D112" i="1"/>
  <c r="D113" i="1" s="1"/>
  <c r="K112" i="1"/>
  <c r="K113" i="1" s="1"/>
  <c r="N50" i="1"/>
  <c r="N102" i="1" s="1"/>
  <c r="E100" i="1"/>
  <c r="B102" i="1"/>
  <c r="B103" i="1" s="1"/>
  <c r="H100" i="1"/>
  <c r="D102" i="1"/>
  <c r="D103" i="1" s="1"/>
  <c r="K100" i="1"/>
  <c r="N107" i="1"/>
  <c r="I103" i="1"/>
  <c r="I115" i="1"/>
  <c r="L103" i="1"/>
  <c r="G103" i="1"/>
  <c r="G115" i="1"/>
  <c r="N108" i="1"/>
  <c r="J103" i="1"/>
  <c r="J115" i="1"/>
  <c r="N109" i="1"/>
  <c r="E115" i="1"/>
  <c r="E103" i="1"/>
  <c r="H103" i="1"/>
  <c r="H115" i="1"/>
  <c r="G112" i="1"/>
  <c r="G113" i="1" s="1"/>
  <c r="N119" i="1"/>
  <c r="N121" i="1" s="1"/>
  <c r="B121" i="1"/>
  <c r="K103" i="1"/>
  <c r="K115" i="1"/>
  <c r="N123" i="1"/>
  <c r="H112" i="1"/>
  <c r="H113" i="1" s="1"/>
  <c r="M115" i="1"/>
  <c r="N105" i="1"/>
  <c r="B112" i="1"/>
  <c r="D115" i="1" l="1"/>
  <c r="N100" i="1"/>
  <c r="L115" i="1"/>
  <c r="L125" i="1" s="1"/>
  <c r="L126" i="1" s="1"/>
  <c r="F115" i="1"/>
  <c r="F116" i="1" s="1"/>
  <c r="C115" i="1"/>
  <c r="C116" i="1" s="1"/>
  <c r="H116" i="1"/>
  <c r="H125" i="1"/>
  <c r="H126" i="1" s="1"/>
  <c r="D116" i="1"/>
  <c r="D125" i="1"/>
  <c r="D126" i="1" s="1"/>
  <c r="B113" i="1"/>
  <c r="B115" i="1"/>
  <c r="E116" i="1"/>
  <c r="E125" i="1"/>
  <c r="E126" i="1" s="1"/>
  <c r="N112" i="1"/>
  <c r="N113" i="1" s="1"/>
  <c r="M116" i="1"/>
  <c r="M125" i="1"/>
  <c r="M126" i="1" s="1"/>
  <c r="J116" i="1"/>
  <c r="J125" i="1"/>
  <c r="J126" i="1" s="1"/>
  <c r="K116" i="1"/>
  <c r="K125" i="1"/>
  <c r="K126" i="1" s="1"/>
  <c r="G116" i="1"/>
  <c r="G125" i="1"/>
  <c r="G126" i="1" s="1"/>
  <c r="L116" i="1"/>
  <c r="I116" i="1"/>
  <c r="I125" i="1"/>
  <c r="I126" i="1" s="1"/>
  <c r="N103" i="1"/>
  <c r="C125" i="1"/>
  <c r="C126" i="1" s="1"/>
  <c r="F125" i="1" l="1"/>
  <c r="F126" i="1" s="1"/>
  <c r="N115" i="1"/>
  <c r="N116" i="1" s="1"/>
  <c r="N125" i="1"/>
  <c r="N126" i="1" s="1"/>
  <c r="B116" i="1"/>
  <c r="B125" i="1"/>
  <c r="B126" i="1" s="1"/>
</calcChain>
</file>

<file path=xl/sharedStrings.xml><?xml version="1.0" encoding="utf-8"?>
<sst xmlns="http://schemas.openxmlformats.org/spreadsheetml/2006/main" count="36" uniqueCount="33">
  <si>
    <t xml:space="preserve">  </t>
  </si>
  <si>
    <t>Margen</t>
  </si>
  <si>
    <t>Utilidad (ó Pérdida)</t>
  </si>
  <si>
    <t>IMPUESTOS</t>
  </si>
  <si>
    <t>COSTO INTEGRAL DE FINANCIAMIENTO</t>
  </si>
  <si>
    <t>GASTOS FINANCIEROS</t>
  </si>
  <si>
    <t>Costo Integral de Financiamiento</t>
  </si>
  <si>
    <t>EBITDA</t>
  </si>
  <si>
    <t>% venta</t>
  </si>
  <si>
    <t>Total GASTOS DE OPERACIÓN</t>
  </si>
  <si>
    <t>VIÁTICOS</t>
  </si>
  <si>
    <t>GASTOS ADMINISTRATIVOS</t>
  </si>
  <si>
    <t>GASTOS OPERATIVOS</t>
  </si>
  <si>
    <t>GASTOS COMERCIALES</t>
  </si>
  <si>
    <t>NÓMINA</t>
  </si>
  <si>
    <t>UTILIDAD BRUTA</t>
  </si>
  <si>
    <t>Total COSTO DE LO VENDIDO</t>
  </si>
  <si>
    <t>Egresos</t>
  </si>
  <si>
    <t>VENTAS</t>
  </si>
  <si>
    <t>Acumulado</t>
  </si>
  <si>
    <t>DICIEMBRE 2026</t>
  </si>
  <si>
    <t>NOVIEMBRE 2026</t>
  </si>
  <si>
    <t>OCTUBRE 2026</t>
  </si>
  <si>
    <t>SEPTIEMBRE 2026</t>
  </si>
  <si>
    <t>AGOSTO 2026</t>
  </si>
  <si>
    <t>JULIO 2026</t>
  </si>
  <si>
    <t>JUNIO 2026</t>
  </si>
  <si>
    <t>MAYO 2026</t>
  </si>
  <si>
    <t>ABRIL 2026</t>
  </si>
  <si>
    <t>MARZO 2026</t>
  </si>
  <si>
    <t>FEBRERO 2026</t>
  </si>
  <si>
    <t>ENERO 2026</t>
  </si>
  <si>
    <t>Estado de Resultados Global |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</si>
</sst>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2" borderId="0" xfId="0" applyNumberFormat="1" applyFont="1" applyFill="1"/>
    <xf numFmtId="10" fontId="0" fillId="0" borderId="0" xfId="0" applyNumberFormat="1"/>
    <xf numFmtId="10" fontId="1" fillId="0" borderId="0" xfId="0" applyNumberFormat="1" applyFont="1" applyAlignment="1">
      <alignment horizontal="center"/>
    </xf>
    <xf numFmtId="10" fontId="1" fillId="0" borderId="0" xfId="0" applyNumberFormat="1" applyFont="1"/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/>
    <xf numFmtId="0" fontId="5" fillId="0" borderId="2" xfId="0" applyFont="1" applyBorder="1"/>
    <xf numFmtId="0" fontId="5" fillId="0" borderId="3" xfId="0" applyFont="1" applyBorder="1"/>
    <xf numFmtId="164" fontId="6" fillId="0" borderId="4" xfId="0" applyNumberFormat="1" applyFont="1" applyBorder="1" applyAlignment="1">
      <alignment horizontal="center"/>
    </xf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7801bd4d516a116/Documentos/Analisis_optimizacion/Reto/data/TEC.xlsx" TargetMode="External"/><Relationship Id="rId1" Type="http://schemas.openxmlformats.org/officeDocument/2006/relationships/externalLinkPath" Target="https://d.docs.live.net/57801bd4d516a116/Documentos/Analisis_optimizacion/Reto/data/T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2026"/>
      <sheetName val="MENÚ COSTOS 2026"/>
      <sheetName val="NÓMINA 2026"/>
      <sheetName val="GASTOS 2026"/>
      <sheetName val="Glosario ER"/>
      <sheetName val="INGRESOS ER BASE 2026"/>
      <sheetName val="COSTOS ER BASE 2026"/>
      <sheetName val="GASTOS ER BASE 2026"/>
      <sheetName val="ER nivel 3 2026"/>
      <sheetName val="ER nivel 3 Sucursal 2026"/>
      <sheetName val="ER nivel 2 2026"/>
      <sheetName val="ER nivel 2 Sucursal 2026"/>
      <sheetName val="ER nivel 1 2026"/>
      <sheetName val="ER nivel 1 Sucursal 2026"/>
      <sheetName val="AHV. MESES"/>
      <sheetName val="REPORTE EJECUTIVO MES"/>
      <sheetName val="GLOBAL MES"/>
      <sheetName val="SUCURSAL MES"/>
      <sheetName val="Copy of SUCURSAL MES"/>
      <sheetName val="AHV. AÑOS"/>
      <sheetName val="REPORTE EJECUTIVO AÑO"/>
      <sheetName val="GLOBAL AÑO"/>
      <sheetName val="SUCURSAL AÑO"/>
      <sheetName val="AHV. Qs"/>
      <sheetName val="REPORTE EJECUTIVO Qs"/>
      <sheetName val="GLOBAL Qs"/>
      <sheetName val="SUCURSAL Qs"/>
    </sheetNames>
    <sheetDataSet>
      <sheetData sheetId="0"/>
      <sheetData sheetId="1"/>
      <sheetData sheetId="2">
        <row r="1">
          <cell r="A1" t="str">
            <v>MES NÓMINA</v>
          </cell>
          <cell r="G1" t="str">
            <v>SUBTOTAL</v>
          </cell>
        </row>
        <row r="2">
          <cell r="A2" t="str">
            <v>ENERO 2026</v>
          </cell>
          <cell r="G2">
            <v>362738.05170000001</v>
          </cell>
        </row>
        <row r="3">
          <cell r="A3" t="str">
            <v>ENERO 2026</v>
          </cell>
          <cell r="G3">
            <v>0</v>
          </cell>
        </row>
        <row r="4">
          <cell r="A4" t="str">
            <v>ENERO 2026</v>
          </cell>
          <cell r="G4">
            <v>122154.05</v>
          </cell>
        </row>
        <row r="5">
          <cell r="A5" t="str">
            <v>ENERO 2026</v>
          </cell>
          <cell r="G5">
            <v>161467.88829999999</v>
          </cell>
        </row>
        <row r="6">
          <cell r="A6" t="str">
            <v>DICIEMBRE 1899</v>
          </cell>
        </row>
        <row r="7">
          <cell r="A7" t="str">
            <v>ENERO 2026</v>
          </cell>
          <cell r="G7">
            <v>131434.1568</v>
          </cell>
        </row>
        <row r="8">
          <cell r="A8" t="str">
            <v>ENERO 2026</v>
          </cell>
          <cell r="G8">
            <v>20820</v>
          </cell>
        </row>
        <row r="9">
          <cell r="A9" t="str">
            <v>ENERO 2026</v>
          </cell>
          <cell r="G9">
            <v>48545.85</v>
          </cell>
        </row>
        <row r="10">
          <cell r="A10" t="str">
            <v>ENERO 2026</v>
          </cell>
          <cell r="G10">
            <v>92816.488509999996</v>
          </cell>
        </row>
        <row r="11">
          <cell r="A11" t="str">
            <v>DICIEMBRE 1899</v>
          </cell>
        </row>
        <row r="12">
          <cell r="A12" t="str">
            <v>ENERO 2026</v>
          </cell>
          <cell r="G12">
            <v>145333.73499999999</v>
          </cell>
        </row>
        <row r="13">
          <cell r="A13" t="str">
            <v>ENERO 2026</v>
          </cell>
          <cell r="G13">
            <v>0</v>
          </cell>
        </row>
        <row r="14">
          <cell r="A14" t="str">
            <v>ENERO 2026</v>
          </cell>
          <cell r="G14">
            <v>48545.85</v>
          </cell>
        </row>
        <row r="15">
          <cell r="A15" t="str">
            <v>ENERO 2026</v>
          </cell>
          <cell r="G15">
            <v>58113.658380000001</v>
          </cell>
        </row>
        <row r="16">
          <cell r="A16" t="str">
            <v>DICIEMBRE 1899</v>
          </cell>
        </row>
        <row r="17">
          <cell r="A17" t="str">
            <v>ENERO 2026</v>
          </cell>
          <cell r="G17">
            <v>122436.8716</v>
          </cell>
        </row>
        <row r="18">
          <cell r="A18" t="str">
            <v>ENERO 2026</v>
          </cell>
          <cell r="G18">
            <v>0</v>
          </cell>
        </row>
        <row r="19">
          <cell r="A19" t="str">
            <v>ENERO 2026</v>
          </cell>
          <cell r="G19">
            <v>34669.08</v>
          </cell>
        </row>
        <row r="20">
          <cell r="A20" t="str">
            <v>ENERO 2026</v>
          </cell>
          <cell r="G20">
            <v>0</v>
          </cell>
        </row>
        <row r="21">
          <cell r="A21" t="str">
            <v>DICIEMBRE 1899</v>
          </cell>
        </row>
        <row r="22">
          <cell r="A22" t="str">
            <v>ENERO 2026</v>
          </cell>
          <cell r="G22">
            <v>439948.05800000002</v>
          </cell>
        </row>
        <row r="23">
          <cell r="A23" t="str">
            <v>ENERO 2026</v>
          </cell>
          <cell r="G23">
            <v>2154.34</v>
          </cell>
        </row>
        <row r="24">
          <cell r="A24" t="str">
            <v>ENERO 2026</v>
          </cell>
          <cell r="G24">
            <v>162720</v>
          </cell>
        </row>
        <row r="25">
          <cell r="A25" t="str">
            <v>ENERO 2026</v>
          </cell>
          <cell r="G25">
            <v>122068.60159999999</v>
          </cell>
        </row>
        <row r="26">
          <cell r="A26" t="str">
            <v>DICIEMBRE 1899</v>
          </cell>
        </row>
        <row r="27">
          <cell r="A27" t="str">
            <v>ENERO 2026</v>
          </cell>
          <cell r="G27">
            <v>175499.95240000001</v>
          </cell>
        </row>
        <row r="28">
          <cell r="A28" t="str">
            <v>ENERO 2026</v>
          </cell>
          <cell r="G28">
            <v>0</v>
          </cell>
        </row>
        <row r="29">
          <cell r="A29" t="str">
            <v>ENERO 2026</v>
          </cell>
          <cell r="G29">
            <v>50366.33</v>
          </cell>
        </row>
        <row r="30">
          <cell r="A30" t="str">
            <v>ENERO 2026</v>
          </cell>
          <cell r="G30">
            <v>0</v>
          </cell>
        </row>
        <row r="31">
          <cell r="A31" t="str">
            <v>DICIEMBRE 1899</v>
          </cell>
          <cell r="G31">
            <v>0</v>
          </cell>
        </row>
        <row r="32">
          <cell r="A32" t="str">
            <v>DICIEMBRE 1899</v>
          </cell>
          <cell r="G32">
            <v>0</v>
          </cell>
        </row>
        <row r="33">
          <cell r="A33" t="str">
            <v>DICIEMBRE 1899</v>
          </cell>
          <cell r="G33">
            <v>0</v>
          </cell>
        </row>
        <row r="34">
          <cell r="A34" t="str">
            <v>DICIEMBRE 1899</v>
          </cell>
          <cell r="G34">
            <v>0</v>
          </cell>
        </row>
        <row r="35">
          <cell r="A35" t="str">
            <v>DICIEMBRE 1899</v>
          </cell>
          <cell r="G35">
            <v>0</v>
          </cell>
        </row>
        <row r="36">
          <cell r="A36" t="str">
            <v>DICIEMBRE 1899</v>
          </cell>
          <cell r="G36">
            <v>0</v>
          </cell>
        </row>
        <row r="37">
          <cell r="A37" t="str">
            <v>DICIEMBRE 1899</v>
          </cell>
          <cell r="G37">
            <v>0</v>
          </cell>
        </row>
        <row r="38">
          <cell r="A38" t="str">
            <v>DICIEMBRE 1899</v>
          </cell>
          <cell r="G38">
            <v>0</v>
          </cell>
        </row>
        <row r="39">
          <cell r="A39" t="str">
            <v>DICIEMBRE 1899</v>
          </cell>
          <cell r="G39">
            <v>0</v>
          </cell>
        </row>
        <row r="40">
          <cell r="A40" t="str">
            <v>DICIEMBRE 1899</v>
          </cell>
          <cell r="G40">
            <v>0</v>
          </cell>
        </row>
        <row r="41">
          <cell r="A41" t="str">
            <v>DICIEMBRE 1899</v>
          </cell>
          <cell r="G41">
            <v>0</v>
          </cell>
        </row>
        <row r="42">
          <cell r="A42" t="str">
            <v>DICIEMBRE 1899</v>
          </cell>
          <cell r="G42">
            <v>0</v>
          </cell>
        </row>
        <row r="43">
          <cell r="A43" t="str">
            <v>DICIEMBRE 1899</v>
          </cell>
          <cell r="G43">
            <v>0</v>
          </cell>
        </row>
        <row r="44">
          <cell r="A44" t="str">
            <v>DICIEMBRE 1899</v>
          </cell>
          <cell r="G44">
            <v>0</v>
          </cell>
        </row>
        <row r="45">
          <cell r="A45" t="str">
            <v>DICIEMBRE 1899</v>
          </cell>
          <cell r="G45">
            <v>0</v>
          </cell>
        </row>
        <row r="46">
          <cell r="A46" t="str">
            <v>DICIEMBRE 1899</v>
          </cell>
          <cell r="G46">
            <v>0</v>
          </cell>
        </row>
        <row r="47">
          <cell r="A47" t="str">
            <v>DICIEMBRE 1899</v>
          </cell>
          <cell r="G47">
            <v>0</v>
          </cell>
        </row>
        <row r="48">
          <cell r="A48" t="str">
            <v>DICIEMBRE 1899</v>
          </cell>
          <cell r="G48">
            <v>0</v>
          </cell>
        </row>
        <row r="49">
          <cell r="A49" t="str">
            <v>DICIEMBRE 1899</v>
          </cell>
          <cell r="G49">
            <v>0</v>
          </cell>
        </row>
        <row r="50">
          <cell r="A50" t="str">
            <v>DICIEMBRE 1899</v>
          </cell>
          <cell r="G50">
            <v>0</v>
          </cell>
        </row>
        <row r="51">
          <cell r="A51" t="str">
            <v>DICIEMBRE 1899</v>
          </cell>
          <cell r="G51">
            <v>0</v>
          </cell>
        </row>
        <row r="52">
          <cell r="A52" t="str">
            <v>DICIEMBRE 1899</v>
          </cell>
          <cell r="G52">
            <v>0</v>
          </cell>
        </row>
        <row r="53">
          <cell r="A53" t="str">
            <v>DICIEMBRE 1899</v>
          </cell>
          <cell r="G53">
            <v>0</v>
          </cell>
        </row>
        <row r="54">
          <cell r="A54" t="str">
            <v>DICIEMBRE 1899</v>
          </cell>
          <cell r="G54">
            <v>0</v>
          </cell>
        </row>
        <row r="55">
          <cell r="A55" t="str">
            <v>DICIEMBRE 1899</v>
          </cell>
          <cell r="G55">
            <v>0</v>
          </cell>
        </row>
        <row r="56">
          <cell r="A56" t="str">
            <v>DICIEMBRE 1899</v>
          </cell>
          <cell r="G56">
            <v>0</v>
          </cell>
        </row>
        <row r="57">
          <cell r="A57" t="str">
            <v>DICIEMBRE 1899</v>
          </cell>
          <cell r="G57">
            <v>0</v>
          </cell>
        </row>
        <row r="58">
          <cell r="A58" t="str">
            <v>DICIEMBRE 1899</v>
          </cell>
          <cell r="G58">
            <v>0</v>
          </cell>
        </row>
        <row r="59">
          <cell r="A59" t="str">
            <v>DICIEMBRE 1899</v>
          </cell>
          <cell r="G59">
            <v>0</v>
          </cell>
        </row>
        <row r="60">
          <cell r="A60" t="str">
            <v>DICIEMBRE 1899</v>
          </cell>
          <cell r="G60">
            <v>0</v>
          </cell>
        </row>
        <row r="61">
          <cell r="A61" t="str">
            <v>DICIEMBRE 1899</v>
          </cell>
          <cell r="G61">
            <v>0</v>
          </cell>
        </row>
        <row r="62">
          <cell r="A62" t="str">
            <v>DICIEMBRE 1899</v>
          </cell>
          <cell r="G62">
            <v>0</v>
          </cell>
        </row>
        <row r="63">
          <cell r="A63" t="str">
            <v>DICIEMBRE 1899</v>
          </cell>
          <cell r="G63">
            <v>0</v>
          </cell>
        </row>
        <row r="64">
          <cell r="A64" t="str">
            <v>DICIEMBRE 1899</v>
          </cell>
          <cell r="G64">
            <v>0</v>
          </cell>
        </row>
        <row r="65">
          <cell r="A65" t="str">
            <v>DICIEMBRE 1899</v>
          </cell>
          <cell r="G65">
            <v>0</v>
          </cell>
        </row>
        <row r="66">
          <cell r="A66" t="str">
            <v>DICIEMBRE 1899</v>
          </cell>
          <cell r="G66">
            <v>0</v>
          </cell>
        </row>
        <row r="67">
          <cell r="A67" t="str">
            <v>DICIEMBRE 1899</v>
          </cell>
          <cell r="G67">
            <v>0</v>
          </cell>
        </row>
        <row r="68">
          <cell r="A68" t="str">
            <v>DICIEMBRE 1899</v>
          </cell>
          <cell r="G68">
            <v>0</v>
          </cell>
        </row>
        <row r="69">
          <cell r="A69" t="str">
            <v>DICIEMBRE 1899</v>
          </cell>
          <cell r="G69">
            <v>0</v>
          </cell>
        </row>
        <row r="70">
          <cell r="A70" t="str">
            <v>DICIEMBRE 1899</v>
          </cell>
          <cell r="G70">
            <v>0</v>
          </cell>
        </row>
        <row r="71">
          <cell r="A71" t="str">
            <v>DICIEMBRE 1899</v>
          </cell>
          <cell r="G71">
            <v>0</v>
          </cell>
        </row>
        <row r="72">
          <cell r="A72" t="str">
            <v>DICIEMBRE 1899</v>
          </cell>
          <cell r="G72">
            <v>0</v>
          </cell>
        </row>
        <row r="73">
          <cell r="A73" t="str">
            <v>DICIEMBRE 1899</v>
          </cell>
          <cell r="G73">
            <v>0</v>
          </cell>
        </row>
        <row r="74">
          <cell r="A74" t="str">
            <v>DICIEMBRE 1899</v>
          </cell>
          <cell r="G74">
            <v>0</v>
          </cell>
        </row>
        <row r="75">
          <cell r="A75" t="str">
            <v>DICIEMBRE 1899</v>
          </cell>
          <cell r="G75">
            <v>0</v>
          </cell>
        </row>
        <row r="76">
          <cell r="A76" t="str">
            <v>DICIEMBRE 1899</v>
          </cell>
          <cell r="G76">
            <v>0</v>
          </cell>
        </row>
        <row r="77">
          <cell r="A77" t="str">
            <v>DICIEMBRE 1899</v>
          </cell>
          <cell r="G77">
            <v>0</v>
          </cell>
        </row>
        <row r="78">
          <cell r="A78" t="str">
            <v>DICIEMBRE 1899</v>
          </cell>
          <cell r="G78">
            <v>0</v>
          </cell>
        </row>
        <row r="79">
          <cell r="A79" t="str">
            <v>DICIEMBRE 1899</v>
          </cell>
          <cell r="G79">
            <v>0</v>
          </cell>
        </row>
        <row r="80">
          <cell r="A80" t="str">
            <v>DICIEMBRE 1899</v>
          </cell>
          <cell r="G80">
            <v>0</v>
          </cell>
        </row>
        <row r="81">
          <cell r="A81" t="str">
            <v>DICIEMBRE 1899</v>
          </cell>
          <cell r="G81">
            <v>0</v>
          </cell>
        </row>
        <row r="82">
          <cell r="A82" t="str">
            <v>DICIEMBRE 1899</v>
          </cell>
          <cell r="G82">
            <v>0</v>
          </cell>
        </row>
        <row r="83">
          <cell r="A83" t="str">
            <v>DICIEMBRE 1899</v>
          </cell>
          <cell r="G83">
            <v>0</v>
          </cell>
        </row>
        <row r="84">
          <cell r="A84" t="str">
            <v>DICIEMBRE 1899</v>
          </cell>
          <cell r="G84">
            <v>0</v>
          </cell>
        </row>
        <row r="85">
          <cell r="A85" t="str">
            <v>DICIEMBRE 1899</v>
          </cell>
          <cell r="G85">
            <v>0</v>
          </cell>
        </row>
        <row r="86">
          <cell r="A86" t="str">
            <v>DICIEMBRE 1899</v>
          </cell>
          <cell r="G86">
            <v>0</v>
          </cell>
        </row>
        <row r="87">
          <cell r="A87" t="str">
            <v>DICIEMBRE 1899</v>
          </cell>
          <cell r="G87">
            <v>0</v>
          </cell>
        </row>
        <row r="88">
          <cell r="A88" t="str">
            <v>DICIEMBRE 1899</v>
          </cell>
          <cell r="G88">
            <v>0</v>
          </cell>
        </row>
        <row r="89">
          <cell r="A89" t="str">
            <v>DICIEMBRE 1899</v>
          </cell>
          <cell r="G89">
            <v>0</v>
          </cell>
        </row>
        <row r="90">
          <cell r="A90" t="str">
            <v>DICIEMBRE 1899</v>
          </cell>
          <cell r="G90">
            <v>0</v>
          </cell>
        </row>
        <row r="91">
          <cell r="A91" t="str">
            <v>DICIEMBRE 1899</v>
          </cell>
          <cell r="G91">
            <v>0</v>
          </cell>
        </row>
        <row r="92">
          <cell r="A92" t="str">
            <v>DICIEMBRE 1899</v>
          </cell>
          <cell r="G92">
            <v>0</v>
          </cell>
        </row>
        <row r="93">
          <cell r="A93" t="str">
            <v>DICIEMBRE 1899</v>
          </cell>
          <cell r="G93">
            <v>0</v>
          </cell>
        </row>
        <row r="94">
          <cell r="A94" t="str">
            <v>DICIEMBRE 1899</v>
          </cell>
          <cell r="G94">
            <v>0</v>
          </cell>
        </row>
        <row r="95">
          <cell r="A95" t="str">
            <v>DICIEMBRE 1899</v>
          </cell>
          <cell r="G95">
            <v>0</v>
          </cell>
        </row>
        <row r="96">
          <cell r="A96" t="str">
            <v>DICIEMBRE 1899</v>
          </cell>
          <cell r="G96">
            <v>0</v>
          </cell>
        </row>
        <row r="97">
          <cell r="A97" t="str">
            <v>DICIEMBRE 1899</v>
          </cell>
          <cell r="G97">
            <v>0</v>
          </cell>
        </row>
        <row r="98">
          <cell r="A98" t="str">
            <v>DICIEMBRE 1899</v>
          </cell>
          <cell r="G98">
            <v>0</v>
          </cell>
        </row>
        <row r="99">
          <cell r="A99" t="str">
            <v>DICIEMBRE 1899</v>
          </cell>
          <cell r="G99">
            <v>0</v>
          </cell>
        </row>
        <row r="100">
          <cell r="A100" t="str">
            <v>DICIEMBRE 1899</v>
          </cell>
          <cell r="G100">
            <v>0</v>
          </cell>
        </row>
        <row r="101">
          <cell r="A101" t="str">
            <v>DICIEMBRE 1899</v>
          </cell>
          <cell r="G101">
            <v>0</v>
          </cell>
        </row>
        <row r="102">
          <cell r="A102" t="str">
            <v>DICIEMBRE 1899</v>
          </cell>
          <cell r="G102">
            <v>0</v>
          </cell>
        </row>
        <row r="103">
          <cell r="A103" t="str">
            <v>DICIEMBRE 1899</v>
          </cell>
          <cell r="G103">
            <v>0</v>
          </cell>
        </row>
        <row r="104">
          <cell r="A104" t="str">
            <v>DICIEMBRE 1899</v>
          </cell>
          <cell r="G104">
            <v>0</v>
          </cell>
        </row>
        <row r="105">
          <cell r="A105" t="str">
            <v>DICIEMBRE 1899</v>
          </cell>
          <cell r="G105">
            <v>0</v>
          </cell>
        </row>
        <row r="106">
          <cell r="A106" t="str">
            <v>DICIEMBRE 1899</v>
          </cell>
          <cell r="G106">
            <v>0</v>
          </cell>
        </row>
        <row r="107">
          <cell r="A107" t="str">
            <v>DICIEMBRE 1899</v>
          </cell>
          <cell r="G107">
            <v>0</v>
          </cell>
        </row>
        <row r="108">
          <cell r="A108" t="str">
            <v>DICIEMBRE 1899</v>
          </cell>
          <cell r="G108">
            <v>0</v>
          </cell>
        </row>
        <row r="109">
          <cell r="A109" t="str">
            <v>DICIEMBRE 1899</v>
          </cell>
          <cell r="G109">
            <v>0</v>
          </cell>
        </row>
        <row r="110">
          <cell r="A110" t="str">
            <v>DICIEMBRE 1899</v>
          </cell>
          <cell r="G110">
            <v>0</v>
          </cell>
        </row>
        <row r="111">
          <cell r="A111" t="str">
            <v>DICIEMBRE 1899</v>
          </cell>
          <cell r="G111">
            <v>0</v>
          </cell>
        </row>
        <row r="112">
          <cell r="A112" t="str">
            <v>DICIEMBRE 1899</v>
          </cell>
          <cell r="G112">
            <v>0</v>
          </cell>
        </row>
        <row r="113">
          <cell r="A113" t="str">
            <v>DICIEMBRE 1899</v>
          </cell>
          <cell r="G113">
            <v>0</v>
          </cell>
        </row>
        <row r="114">
          <cell r="A114" t="str">
            <v>DICIEMBRE 1899</v>
          </cell>
          <cell r="G114">
            <v>0</v>
          </cell>
        </row>
        <row r="115">
          <cell r="A115" t="str">
            <v>DICIEMBRE 1899</v>
          </cell>
          <cell r="G115">
            <v>0</v>
          </cell>
        </row>
        <row r="116">
          <cell r="A116" t="str">
            <v>DICIEMBRE 1899</v>
          </cell>
          <cell r="G116">
            <v>0</v>
          </cell>
        </row>
        <row r="117">
          <cell r="A117" t="str">
            <v>DICIEMBRE 1899</v>
          </cell>
          <cell r="G117">
            <v>0</v>
          </cell>
        </row>
        <row r="118">
          <cell r="A118" t="str">
            <v>DICIEMBRE 1899</v>
          </cell>
          <cell r="G118">
            <v>0</v>
          </cell>
        </row>
        <row r="119">
          <cell r="A119" t="str">
            <v>DICIEMBRE 1899</v>
          </cell>
          <cell r="G119">
            <v>0</v>
          </cell>
        </row>
        <row r="120">
          <cell r="A120" t="str">
            <v>DICIEMBRE 1899</v>
          </cell>
          <cell r="G120">
            <v>0</v>
          </cell>
        </row>
        <row r="121">
          <cell r="A121" t="str">
            <v>DICIEMBRE 1899</v>
          </cell>
          <cell r="G121">
            <v>0</v>
          </cell>
        </row>
        <row r="122">
          <cell r="A122" t="str">
            <v>DICIEMBRE 1899</v>
          </cell>
          <cell r="G122">
            <v>0</v>
          </cell>
        </row>
        <row r="123">
          <cell r="A123" t="str">
            <v>DICIEMBRE 1899</v>
          </cell>
          <cell r="G123">
            <v>0</v>
          </cell>
        </row>
        <row r="124">
          <cell r="A124" t="str">
            <v>DICIEMBRE 1899</v>
          </cell>
          <cell r="G124">
            <v>0</v>
          </cell>
        </row>
        <row r="125">
          <cell r="A125" t="str">
            <v>DICIEMBRE 1899</v>
          </cell>
          <cell r="G125">
            <v>0</v>
          </cell>
        </row>
        <row r="126">
          <cell r="A126" t="str">
            <v>DICIEMBRE 1899</v>
          </cell>
          <cell r="G126">
            <v>0</v>
          </cell>
        </row>
        <row r="127">
          <cell r="A127" t="str">
            <v>DICIEMBRE 1899</v>
          </cell>
          <cell r="G127">
            <v>0</v>
          </cell>
        </row>
        <row r="128">
          <cell r="A128" t="str">
            <v>DICIEMBRE 1899</v>
          </cell>
          <cell r="G128">
            <v>0</v>
          </cell>
        </row>
        <row r="129">
          <cell r="A129" t="str">
            <v>DICIEMBRE 1899</v>
          </cell>
          <cell r="G129">
            <v>0</v>
          </cell>
        </row>
        <row r="130">
          <cell r="A130" t="str">
            <v>DICIEMBRE 1899</v>
          </cell>
          <cell r="G130">
            <v>0</v>
          </cell>
        </row>
        <row r="131">
          <cell r="A131" t="str">
            <v>DICIEMBRE 1899</v>
          </cell>
          <cell r="G131">
            <v>0</v>
          </cell>
        </row>
        <row r="132">
          <cell r="A132" t="str">
            <v>DICIEMBRE 1899</v>
          </cell>
          <cell r="G132">
            <v>0</v>
          </cell>
        </row>
        <row r="133">
          <cell r="A133" t="str">
            <v>DICIEMBRE 1899</v>
          </cell>
          <cell r="G133">
            <v>0</v>
          </cell>
        </row>
        <row r="134">
          <cell r="A134" t="str">
            <v>DICIEMBRE 1899</v>
          </cell>
          <cell r="G134">
            <v>0</v>
          </cell>
        </row>
        <row r="135">
          <cell r="A135" t="str">
            <v>DICIEMBRE 1899</v>
          </cell>
          <cell r="G135">
            <v>0</v>
          </cell>
        </row>
        <row r="136">
          <cell r="A136" t="str">
            <v>DICIEMBRE 1899</v>
          </cell>
          <cell r="G136">
            <v>0</v>
          </cell>
        </row>
        <row r="137">
          <cell r="A137" t="str">
            <v>DICIEMBRE 1899</v>
          </cell>
          <cell r="G137">
            <v>0</v>
          </cell>
        </row>
        <row r="138">
          <cell r="A138" t="str">
            <v>DICIEMBRE 1899</v>
          </cell>
          <cell r="G138">
            <v>0</v>
          </cell>
        </row>
        <row r="139">
          <cell r="A139" t="str">
            <v>DICIEMBRE 1899</v>
          </cell>
          <cell r="G139">
            <v>0</v>
          </cell>
        </row>
        <row r="140">
          <cell r="A140" t="str">
            <v>DICIEMBRE 1899</v>
          </cell>
          <cell r="G140">
            <v>0</v>
          </cell>
        </row>
        <row r="141">
          <cell r="A141" t="str">
            <v>DICIEMBRE 1899</v>
          </cell>
          <cell r="G141">
            <v>0</v>
          </cell>
        </row>
        <row r="142">
          <cell r="A142" t="str">
            <v>DICIEMBRE 1899</v>
          </cell>
          <cell r="G142">
            <v>0</v>
          </cell>
        </row>
        <row r="143">
          <cell r="A143" t="str">
            <v>DICIEMBRE 1899</v>
          </cell>
          <cell r="G143">
            <v>0</v>
          </cell>
        </row>
        <row r="144">
          <cell r="A144" t="str">
            <v>DICIEMBRE 1899</v>
          </cell>
          <cell r="G144">
            <v>0</v>
          </cell>
        </row>
        <row r="145">
          <cell r="A145" t="str">
            <v>DICIEMBRE 1899</v>
          </cell>
          <cell r="G145">
            <v>0</v>
          </cell>
        </row>
        <row r="146">
          <cell r="A146" t="str">
            <v>DICIEMBRE 1899</v>
          </cell>
          <cell r="G146">
            <v>0</v>
          </cell>
        </row>
        <row r="147">
          <cell r="A147" t="str">
            <v>DICIEMBRE 1899</v>
          </cell>
          <cell r="G147">
            <v>0</v>
          </cell>
        </row>
        <row r="148">
          <cell r="A148" t="str">
            <v>DICIEMBRE 1899</v>
          </cell>
          <cell r="G148">
            <v>0</v>
          </cell>
        </row>
        <row r="149">
          <cell r="A149" t="str">
            <v>DICIEMBRE 1899</v>
          </cell>
          <cell r="G149">
            <v>0</v>
          </cell>
        </row>
        <row r="150">
          <cell r="A150" t="str">
            <v>DICIEMBRE 1899</v>
          </cell>
          <cell r="G150">
            <v>0</v>
          </cell>
        </row>
        <row r="151">
          <cell r="A151" t="str">
            <v>DICIEMBRE 1899</v>
          </cell>
          <cell r="G151">
            <v>0</v>
          </cell>
        </row>
        <row r="152">
          <cell r="A152" t="str">
            <v>DICIEMBRE 1899</v>
          </cell>
          <cell r="G152">
            <v>0</v>
          </cell>
        </row>
        <row r="153">
          <cell r="A153" t="str">
            <v>DICIEMBRE 1899</v>
          </cell>
          <cell r="G153">
            <v>0</v>
          </cell>
        </row>
        <row r="154">
          <cell r="A154" t="str">
            <v>DICIEMBRE 1899</v>
          </cell>
          <cell r="G154">
            <v>0</v>
          </cell>
        </row>
        <row r="155">
          <cell r="A155" t="str">
            <v>DICIEMBRE 1899</v>
          </cell>
          <cell r="G155">
            <v>0</v>
          </cell>
        </row>
        <row r="156">
          <cell r="A156" t="str">
            <v>DICIEMBRE 1899</v>
          </cell>
          <cell r="G156">
            <v>0</v>
          </cell>
        </row>
        <row r="157">
          <cell r="A157" t="str">
            <v>DICIEMBRE 1899</v>
          </cell>
          <cell r="G157">
            <v>0</v>
          </cell>
        </row>
        <row r="158">
          <cell r="A158" t="str">
            <v>DICIEMBRE 1899</v>
          </cell>
          <cell r="G158">
            <v>0</v>
          </cell>
        </row>
        <row r="159">
          <cell r="A159" t="str">
            <v>DICIEMBRE 1899</v>
          </cell>
          <cell r="G159">
            <v>0</v>
          </cell>
        </row>
        <row r="160">
          <cell r="A160" t="str">
            <v>DICIEMBRE 1899</v>
          </cell>
          <cell r="G160">
            <v>0</v>
          </cell>
        </row>
        <row r="161">
          <cell r="A161" t="str">
            <v>DICIEMBRE 1899</v>
          </cell>
          <cell r="G161">
            <v>0</v>
          </cell>
        </row>
        <row r="162">
          <cell r="A162" t="str">
            <v>DICIEMBRE 1899</v>
          </cell>
          <cell r="G162">
            <v>0</v>
          </cell>
        </row>
        <row r="163">
          <cell r="A163" t="str">
            <v>DICIEMBRE 1899</v>
          </cell>
          <cell r="G163">
            <v>0</v>
          </cell>
        </row>
        <row r="164">
          <cell r="A164" t="str">
            <v>DICIEMBRE 1899</v>
          </cell>
          <cell r="G164">
            <v>0</v>
          </cell>
        </row>
        <row r="165">
          <cell r="A165" t="str">
            <v>DICIEMBRE 1899</v>
          </cell>
          <cell r="G165">
            <v>0</v>
          </cell>
        </row>
        <row r="166">
          <cell r="A166" t="str">
            <v>DICIEMBRE 1899</v>
          </cell>
          <cell r="G166">
            <v>0</v>
          </cell>
        </row>
        <row r="167">
          <cell r="A167" t="str">
            <v>DICIEMBRE 1899</v>
          </cell>
          <cell r="G167">
            <v>0</v>
          </cell>
        </row>
        <row r="168">
          <cell r="A168" t="str">
            <v>DICIEMBRE 1899</v>
          </cell>
          <cell r="G168">
            <v>0</v>
          </cell>
        </row>
        <row r="169">
          <cell r="A169" t="str">
            <v>DICIEMBRE 1899</v>
          </cell>
          <cell r="G169">
            <v>0</v>
          </cell>
        </row>
        <row r="170">
          <cell r="A170" t="str">
            <v>DICIEMBRE 1899</v>
          </cell>
          <cell r="G170">
            <v>0</v>
          </cell>
        </row>
        <row r="171">
          <cell r="A171" t="str">
            <v>DICIEMBRE 1899</v>
          </cell>
          <cell r="G171">
            <v>0</v>
          </cell>
        </row>
        <row r="172">
          <cell r="A172" t="str">
            <v>DICIEMBRE 1899</v>
          </cell>
          <cell r="G172">
            <v>0</v>
          </cell>
        </row>
        <row r="173">
          <cell r="A173" t="str">
            <v>DICIEMBRE 1899</v>
          </cell>
          <cell r="G173">
            <v>0</v>
          </cell>
        </row>
        <row r="174">
          <cell r="A174" t="str">
            <v>DICIEMBRE 1899</v>
          </cell>
          <cell r="G174">
            <v>0</v>
          </cell>
        </row>
        <row r="175">
          <cell r="A175" t="str">
            <v>DICIEMBRE 1899</v>
          </cell>
          <cell r="G175">
            <v>0</v>
          </cell>
        </row>
        <row r="176">
          <cell r="A176" t="str">
            <v>DICIEMBRE 1899</v>
          </cell>
          <cell r="G176">
            <v>0</v>
          </cell>
        </row>
        <row r="177">
          <cell r="A177" t="str">
            <v>DICIEMBRE 1899</v>
          </cell>
          <cell r="G177">
            <v>0</v>
          </cell>
        </row>
        <row r="178">
          <cell r="A178" t="str">
            <v>DICIEMBRE 1899</v>
          </cell>
          <cell r="G178">
            <v>0</v>
          </cell>
        </row>
        <row r="179">
          <cell r="A179" t="str">
            <v>DICIEMBRE 1899</v>
          </cell>
          <cell r="G179">
            <v>0</v>
          </cell>
        </row>
        <row r="180">
          <cell r="A180" t="str">
            <v>DICIEMBRE 1899</v>
          </cell>
          <cell r="G180">
            <v>0</v>
          </cell>
        </row>
        <row r="181">
          <cell r="A181" t="str">
            <v>DICIEMBRE 1899</v>
          </cell>
          <cell r="G181">
            <v>0</v>
          </cell>
        </row>
        <row r="182">
          <cell r="A182" t="str">
            <v>DICIEMBRE 1899</v>
          </cell>
          <cell r="G182">
            <v>0</v>
          </cell>
        </row>
        <row r="183">
          <cell r="A183" t="str">
            <v>DICIEMBRE 1899</v>
          </cell>
          <cell r="G183">
            <v>0</v>
          </cell>
        </row>
        <row r="184">
          <cell r="A184" t="str">
            <v>DICIEMBRE 1899</v>
          </cell>
          <cell r="G184">
            <v>0</v>
          </cell>
        </row>
        <row r="185">
          <cell r="A185" t="str">
            <v>DICIEMBRE 1899</v>
          </cell>
          <cell r="G185">
            <v>0</v>
          </cell>
        </row>
        <row r="186">
          <cell r="A186" t="str">
            <v>DICIEMBRE 1899</v>
          </cell>
          <cell r="G186">
            <v>0</v>
          </cell>
        </row>
        <row r="187">
          <cell r="A187" t="str">
            <v>DICIEMBRE 1899</v>
          </cell>
          <cell r="G187">
            <v>0</v>
          </cell>
        </row>
        <row r="188">
          <cell r="A188" t="str">
            <v>DICIEMBRE 1899</v>
          </cell>
          <cell r="G188">
            <v>0</v>
          </cell>
        </row>
        <row r="189">
          <cell r="A189" t="str">
            <v>DICIEMBRE 1899</v>
          </cell>
          <cell r="G189">
            <v>0</v>
          </cell>
        </row>
        <row r="190">
          <cell r="A190" t="str">
            <v>DICIEMBRE 1899</v>
          </cell>
          <cell r="G190">
            <v>0</v>
          </cell>
        </row>
        <row r="191">
          <cell r="A191" t="str">
            <v>DICIEMBRE 1899</v>
          </cell>
          <cell r="G191">
            <v>0</v>
          </cell>
        </row>
        <row r="192">
          <cell r="A192" t="str">
            <v>DICIEMBRE 1899</v>
          </cell>
          <cell r="G192">
            <v>0</v>
          </cell>
        </row>
        <row r="193">
          <cell r="A193" t="str">
            <v>DICIEMBRE 1899</v>
          </cell>
          <cell r="G193">
            <v>0</v>
          </cell>
        </row>
        <row r="194">
          <cell r="A194" t="str">
            <v>DICIEMBRE 1899</v>
          </cell>
          <cell r="G194">
            <v>0</v>
          </cell>
        </row>
        <row r="195">
          <cell r="A195" t="str">
            <v>DICIEMBRE 1899</v>
          </cell>
          <cell r="G195">
            <v>0</v>
          </cell>
        </row>
        <row r="196">
          <cell r="A196" t="str">
            <v>DICIEMBRE 1899</v>
          </cell>
          <cell r="G196">
            <v>0</v>
          </cell>
        </row>
        <row r="197">
          <cell r="A197" t="str">
            <v>DICIEMBRE 1899</v>
          </cell>
          <cell r="G197">
            <v>0</v>
          </cell>
        </row>
        <row r="198">
          <cell r="A198" t="str">
            <v>DICIEMBRE 1899</v>
          </cell>
          <cell r="G198">
            <v>0</v>
          </cell>
        </row>
        <row r="199">
          <cell r="A199" t="str">
            <v>DICIEMBRE 1899</v>
          </cell>
          <cell r="G199">
            <v>0</v>
          </cell>
        </row>
        <row r="200">
          <cell r="A200" t="str">
            <v>DICIEMBRE 1899</v>
          </cell>
          <cell r="G200">
            <v>0</v>
          </cell>
        </row>
        <row r="201">
          <cell r="A201" t="str">
            <v>DICIEMBRE 1899</v>
          </cell>
          <cell r="G201">
            <v>0</v>
          </cell>
        </row>
        <row r="202">
          <cell r="A202" t="str">
            <v>DICIEMBRE 1899</v>
          </cell>
          <cell r="G202">
            <v>0</v>
          </cell>
        </row>
        <row r="203">
          <cell r="A203" t="str">
            <v>DICIEMBRE 1899</v>
          </cell>
          <cell r="G203">
            <v>0</v>
          </cell>
        </row>
        <row r="204">
          <cell r="A204" t="str">
            <v>DICIEMBRE 1899</v>
          </cell>
          <cell r="G204">
            <v>0</v>
          </cell>
        </row>
        <row r="205">
          <cell r="A205" t="str">
            <v>DICIEMBRE 1899</v>
          </cell>
          <cell r="G205">
            <v>0</v>
          </cell>
        </row>
        <row r="206">
          <cell r="A206" t="str">
            <v>DICIEMBRE 1899</v>
          </cell>
          <cell r="G206">
            <v>0</v>
          </cell>
        </row>
        <row r="207">
          <cell r="A207" t="str">
            <v>DICIEMBRE 1899</v>
          </cell>
          <cell r="G207">
            <v>0</v>
          </cell>
        </row>
        <row r="208">
          <cell r="A208" t="str">
            <v>DICIEMBRE 1899</v>
          </cell>
          <cell r="G208">
            <v>0</v>
          </cell>
        </row>
        <row r="209">
          <cell r="A209" t="str">
            <v>DICIEMBRE 1899</v>
          </cell>
          <cell r="G209">
            <v>0</v>
          </cell>
        </row>
        <row r="210">
          <cell r="A210" t="str">
            <v>DICIEMBRE 1899</v>
          </cell>
          <cell r="G210">
            <v>0</v>
          </cell>
        </row>
        <row r="211">
          <cell r="A211" t="str">
            <v>DICIEMBRE 1899</v>
          </cell>
          <cell r="G211">
            <v>0</v>
          </cell>
        </row>
        <row r="212">
          <cell r="A212" t="str">
            <v>DICIEMBRE 1899</v>
          </cell>
          <cell r="G212">
            <v>0</v>
          </cell>
        </row>
        <row r="213">
          <cell r="A213" t="str">
            <v>DICIEMBRE 1899</v>
          </cell>
          <cell r="G213">
            <v>0</v>
          </cell>
        </row>
        <row r="214">
          <cell r="A214" t="str">
            <v>DICIEMBRE 1899</v>
          </cell>
          <cell r="G214">
            <v>0</v>
          </cell>
        </row>
        <row r="215">
          <cell r="A215" t="str">
            <v>DICIEMBRE 1899</v>
          </cell>
          <cell r="G215">
            <v>0</v>
          </cell>
        </row>
        <row r="216">
          <cell r="A216" t="str">
            <v>DICIEMBRE 1899</v>
          </cell>
          <cell r="G216">
            <v>0</v>
          </cell>
        </row>
        <row r="217">
          <cell r="A217" t="str">
            <v>DICIEMBRE 1899</v>
          </cell>
          <cell r="G217">
            <v>0</v>
          </cell>
        </row>
        <row r="218">
          <cell r="A218" t="str">
            <v>DICIEMBRE 1899</v>
          </cell>
          <cell r="G218">
            <v>0</v>
          </cell>
        </row>
        <row r="219">
          <cell r="A219" t="str">
            <v>DICIEMBRE 1899</v>
          </cell>
          <cell r="G219">
            <v>0</v>
          </cell>
        </row>
        <row r="220">
          <cell r="A220" t="str">
            <v>DICIEMBRE 1899</v>
          </cell>
          <cell r="G220">
            <v>0</v>
          </cell>
        </row>
        <row r="221">
          <cell r="A221" t="str">
            <v>DICIEMBRE 1899</v>
          </cell>
          <cell r="G221">
            <v>0</v>
          </cell>
        </row>
        <row r="222">
          <cell r="A222" t="str">
            <v>DICIEMBRE 1899</v>
          </cell>
          <cell r="G222">
            <v>0</v>
          </cell>
        </row>
        <row r="223">
          <cell r="A223" t="str">
            <v>DICIEMBRE 1899</v>
          </cell>
          <cell r="G223">
            <v>0</v>
          </cell>
        </row>
        <row r="224">
          <cell r="A224" t="str">
            <v>DICIEMBRE 1899</v>
          </cell>
          <cell r="G224">
            <v>0</v>
          </cell>
        </row>
        <row r="225">
          <cell r="A225" t="str">
            <v>DICIEMBRE 1899</v>
          </cell>
          <cell r="G225">
            <v>0</v>
          </cell>
        </row>
        <row r="226">
          <cell r="A226" t="str">
            <v>DICIEMBRE 1899</v>
          </cell>
          <cell r="G226">
            <v>0</v>
          </cell>
        </row>
        <row r="227">
          <cell r="A227" t="str">
            <v>DICIEMBRE 1899</v>
          </cell>
          <cell r="G227">
            <v>0</v>
          </cell>
        </row>
        <row r="228">
          <cell r="A228" t="str">
            <v>DICIEMBRE 1899</v>
          </cell>
          <cell r="G228">
            <v>0</v>
          </cell>
        </row>
        <row r="229">
          <cell r="A229" t="str">
            <v>DICIEMBRE 1899</v>
          </cell>
          <cell r="G229">
            <v>0</v>
          </cell>
        </row>
        <row r="230">
          <cell r="A230" t="str">
            <v>DICIEMBRE 1899</v>
          </cell>
          <cell r="G230">
            <v>0</v>
          </cell>
        </row>
        <row r="231">
          <cell r="A231" t="str">
            <v>DICIEMBRE 1899</v>
          </cell>
          <cell r="G231">
            <v>0</v>
          </cell>
        </row>
        <row r="232">
          <cell r="A232" t="str">
            <v>DICIEMBRE 1899</v>
          </cell>
          <cell r="G232">
            <v>0</v>
          </cell>
        </row>
        <row r="233">
          <cell r="A233" t="str">
            <v>DICIEMBRE 1899</v>
          </cell>
          <cell r="G233">
            <v>0</v>
          </cell>
        </row>
        <row r="234">
          <cell r="A234" t="str">
            <v>DICIEMBRE 1899</v>
          </cell>
          <cell r="G234">
            <v>0</v>
          </cell>
        </row>
        <row r="235">
          <cell r="A235" t="str">
            <v>DICIEMBRE 1899</v>
          </cell>
          <cell r="G235">
            <v>0</v>
          </cell>
        </row>
        <row r="236">
          <cell r="A236" t="str">
            <v>DICIEMBRE 1899</v>
          </cell>
          <cell r="G236">
            <v>0</v>
          </cell>
        </row>
        <row r="237">
          <cell r="A237" t="str">
            <v>DICIEMBRE 1899</v>
          </cell>
          <cell r="G237">
            <v>0</v>
          </cell>
        </row>
        <row r="238">
          <cell r="A238" t="str">
            <v>DICIEMBRE 1899</v>
          </cell>
          <cell r="G238">
            <v>0</v>
          </cell>
        </row>
        <row r="239">
          <cell r="A239" t="str">
            <v>DICIEMBRE 1899</v>
          </cell>
          <cell r="G239">
            <v>0</v>
          </cell>
        </row>
        <row r="240">
          <cell r="A240" t="str">
            <v>DICIEMBRE 1899</v>
          </cell>
          <cell r="G240">
            <v>0</v>
          </cell>
        </row>
        <row r="241">
          <cell r="A241" t="str">
            <v>DICIEMBRE 1899</v>
          </cell>
          <cell r="G241">
            <v>0</v>
          </cell>
        </row>
        <row r="242">
          <cell r="A242" t="str">
            <v>DICIEMBRE 1899</v>
          </cell>
          <cell r="G242">
            <v>0</v>
          </cell>
        </row>
        <row r="243">
          <cell r="A243" t="str">
            <v>DICIEMBRE 1899</v>
          </cell>
          <cell r="G243">
            <v>0</v>
          </cell>
        </row>
        <row r="244">
          <cell r="A244" t="str">
            <v>DICIEMBRE 1899</v>
          </cell>
          <cell r="G244">
            <v>0</v>
          </cell>
        </row>
        <row r="245">
          <cell r="A245" t="str">
            <v>DICIEMBRE 1899</v>
          </cell>
          <cell r="G245">
            <v>0</v>
          </cell>
        </row>
        <row r="246">
          <cell r="A246" t="str">
            <v>DICIEMBRE 1899</v>
          </cell>
          <cell r="G246">
            <v>0</v>
          </cell>
        </row>
        <row r="247">
          <cell r="A247" t="str">
            <v>DICIEMBRE 1899</v>
          </cell>
          <cell r="G247">
            <v>0</v>
          </cell>
        </row>
        <row r="248">
          <cell r="A248" t="str">
            <v>DICIEMBRE 1899</v>
          </cell>
          <cell r="G248">
            <v>0</v>
          </cell>
        </row>
        <row r="249">
          <cell r="A249" t="str">
            <v>DICIEMBRE 1899</v>
          </cell>
          <cell r="G249">
            <v>0</v>
          </cell>
        </row>
        <row r="250">
          <cell r="A250" t="str">
            <v>DICIEMBRE 1899</v>
          </cell>
          <cell r="G250">
            <v>0</v>
          </cell>
        </row>
        <row r="251">
          <cell r="A251" t="str">
            <v>DICIEMBRE 1899</v>
          </cell>
          <cell r="G251">
            <v>0</v>
          </cell>
        </row>
        <row r="252">
          <cell r="A252" t="str">
            <v>DICIEMBRE 1899</v>
          </cell>
          <cell r="G252">
            <v>0</v>
          </cell>
        </row>
        <row r="253">
          <cell r="A253" t="str">
            <v>DICIEMBRE 1899</v>
          </cell>
          <cell r="G253">
            <v>0</v>
          </cell>
        </row>
        <row r="254">
          <cell r="A254" t="str">
            <v>DICIEMBRE 1899</v>
          </cell>
          <cell r="G254">
            <v>0</v>
          </cell>
        </row>
        <row r="255">
          <cell r="A255" t="str">
            <v>DICIEMBRE 1899</v>
          </cell>
          <cell r="G255">
            <v>0</v>
          </cell>
        </row>
        <row r="256">
          <cell r="A256" t="str">
            <v>DICIEMBRE 1899</v>
          </cell>
          <cell r="G256">
            <v>0</v>
          </cell>
        </row>
        <row r="257">
          <cell r="A257" t="str">
            <v>DICIEMBRE 1899</v>
          </cell>
          <cell r="G257">
            <v>0</v>
          </cell>
        </row>
        <row r="258">
          <cell r="A258" t="str">
            <v>DICIEMBRE 1899</v>
          </cell>
          <cell r="G258">
            <v>0</v>
          </cell>
        </row>
        <row r="259">
          <cell r="A259" t="str">
            <v>DICIEMBRE 1899</v>
          </cell>
          <cell r="G259">
            <v>0</v>
          </cell>
        </row>
        <row r="260">
          <cell r="A260" t="str">
            <v>DICIEMBRE 1899</v>
          </cell>
          <cell r="G260">
            <v>0</v>
          </cell>
        </row>
        <row r="261">
          <cell r="A261" t="str">
            <v>DICIEMBRE 1899</v>
          </cell>
          <cell r="G261">
            <v>0</v>
          </cell>
        </row>
        <row r="262">
          <cell r="A262" t="str">
            <v>DICIEMBRE 1899</v>
          </cell>
          <cell r="G262">
            <v>0</v>
          </cell>
        </row>
        <row r="263">
          <cell r="A263" t="str">
            <v>DICIEMBRE 1899</v>
          </cell>
          <cell r="G263">
            <v>0</v>
          </cell>
        </row>
        <row r="264">
          <cell r="A264" t="str">
            <v>DICIEMBRE 1899</v>
          </cell>
          <cell r="G264">
            <v>0</v>
          </cell>
        </row>
        <row r="265">
          <cell r="A265" t="str">
            <v>DICIEMBRE 1899</v>
          </cell>
          <cell r="G265">
            <v>0</v>
          </cell>
        </row>
        <row r="266">
          <cell r="A266" t="str">
            <v>DICIEMBRE 1899</v>
          </cell>
          <cell r="G266">
            <v>0</v>
          </cell>
        </row>
        <row r="267">
          <cell r="A267" t="str">
            <v>DICIEMBRE 1899</v>
          </cell>
          <cell r="G267">
            <v>0</v>
          </cell>
        </row>
        <row r="268">
          <cell r="A268" t="str">
            <v>DICIEMBRE 1899</v>
          </cell>
          <cell r="G268">
            <v>0</v>
          </cell>
        </row>
        <row r="269">
          <cell r="A269" t="str">
            <v>DICIEMBRE 1899</v>
          </cell>
          <cell r="G269">
            <v>0</v>
          </cell>
        </row>
        <row r="270">
          <cell r="A270" t="str">
            <v>DICIEMBRE 1899</v>
          </cell>
          <cell r="G270">
            <v>0</v>
          </cell>
        </row>
        <row r="271">
          <cell r="A271" t="str">
            <v>DICIEMBRE 1899</v>
          </cell>
          <cell r="G271">
            <v>0</v>
          </cell>
        </row>
        <row r="272">
          <cell r="A272" t="str">
            <v>DICIEMBRE 1899</v>
          </cell>
          <cell r="G272">
            <v>0</v>
          </cell>
        </row>
        <row r="273">
          <cell r="A273" t="str">
            <v>DICIEMBRE 1899</v>
          </cell>
          <cell r="G273">
            <v>0</v>
          </cell>
        </row>
        <row r="274">
          <cell r="A274" t="str">
            <v>DICIEMBRE 1899</v>
          </cell>
          <cell r="G274">
            <v>0</v>
          </cell>
        </row>
        <row r="275">
          <cell r="A275" t="str">
            <v>DICIEMBRE 1899</v>
          </cell>
          <cell r="G275">
            <v>0</v>
          </cell>
        </row>
        <row r="276">
          <cell r="A276" t="str">
            <v>DICIEMBRE 1899</v>
          </cell>
          <cell r="G276">
            <v>0</v>
          </cell>
        </row>
        <row r="277">
          <cell r="A277" t="str">
            <v>DICIEMBRE 1899</v>
          </cell>
          <cell r="G277">
            <v>0</v>
          </cell>
        </row>
        <row r="278">
          <cell r="A278" t="str">
            <v>DICIEMBRE 1899</v>
          </cell>
          <cell r="G278">
            <v>0</v>
          </cell>
        </row>
        <row r="279">
          <cell r="A279" t="str">
            <v>DICIEMBRE 1899</v>
          </cell>
          <cell r="G279">
            <v>0</v>
          </cell>
        </row>
        <row r="280">
          <cell r="A280" t="str">
            <v>DICIEMBRE 1899</v>
          </cell>
          <cell r="G280">
            <v>0</v>
          </cell>
        </row>
        <row r="281">
          <cell r="A281" t="str">
            <v>DICIEMBRE 1899</v>
          </cell>
          <cell r="G281">
            <v>0</v>
          </cell>
        </row>
        <row r="282">
          <cell r="A282" t="str">
            <v>DICIEMBRE 1899</v>
          </cell>
          <cell r="G282">
            <v>0</v>
          </cell>
        </row>
        <row r="283">
          <cell r="A283" t="str">
            <v>DICIEMBRE 1899</v>
          </cell>
          <cell r="G283">
            <v>0</v>
          </cell>
        </row>
        <row r="284">
          <cell r="A284" t="str">
            <v>DICIEMBRE 1899</v>
          </cell>
          <cell r="G284">
            <v>0</v>
          </cell>
        </row>
        <row r="285">
          <cell r="A285" t="str">
            <v>DICIEMBRE 1899</v>
          </cell>
          <cell r="G285">
            <v>0</v>
          </cell>
        </row>
        <row r="286">
          <cell r="A286" t="str">
            <v>DICIEMBRE 1899</v>
          </cell>
          <cell r="G286">
            <v>0</v>
          </cell>
        </row>
        <row r="287">
          <cell r="A287" t="str">
            <v>DICIEMBRE 1899</v>
          </cell>
          <cell r="G287">
            <v>0</v>
          </cell>
        </row>
        <row r="288">
          <cell r="A288" t="str">
            <v>DICIEMBRE 1899</v>
          </cell>
          <cell r="G288">
            <v>0</v>
          </cell>
        </row>
        <row r="289">
          <cell r="A289" t="str">
            <v>DICIEMBRE 1899</v>
          </cell>
          <cell r="G289">
            <v>0</v>
          </cell>
        </row>
        <row r="290">
          <cell r="A290" t="str">
            <v>DICIEMBRE 1899</v>
          </cell>
          <cell r="G290">
            <v>0</v>
          </cell>
        </row>
        <row r="291">
          <cell r="A291" t="str">
            <v>DICIEMBRE 1899</v>
          </cell>
          <cell r="G291">
            <v>0</v>
          </cell>
        </row>
        <row r="292">
          <cell r="A292" t="str">
            <v>DICIEMBRE 1899</v>
          </cell>
          <cell r="G292">
            <v>0</v>
          </cell>
        </row>
        <row r="293">
          <cell r="A293" t="str">
            <v>DICIEMBRE 1899</v>
          </cell>
          <cell r="G293">
            <v>0</v>
          </cell>
        </row>
        <row r="294">
          <cell r="A294" t="str">
            <v>DICIEMBRE 1899</v>
          </cell>
          <cell r="G294">
            <v>0</v>
          </cell>
        </row>
        <row r="295">
          <cell r="A295" t="str">
            <v>DICIEMBRE 1899</v>
          </cell>
          <cell r="G295">
            <v>0</v>
          </cell>
        </row>
        <row r="296">
          <cell r="A296" t="str">
            <v>DICIEMBRE 1899</v>
          </cell>
          <cell r="G296">
            <v>0</v>
          </cell>
        </row>
        <row r="297">
          <cell r="A297" t="str">
            <v>DICIEMBRE 1899</v>
          </cell>
          <cell r="G297">
            <v>0</v>
          </cell>
        </row>
        <row r="298">
          <cell r="A298" t="str">
            <v>DICIEMBRE 1899</v>
          </cell>
          <cell r="G298">
            <v>0</v>
          </cell>
        </row>
        <row r="299">
          <cell r="A299" t="str">
            <v>DICIEMBRE 1899</v>
          </cell>
          <cell r="G299">
            <v>0</v>
          </cell>
        </row>
        <row r="300">
          <cell r="A300" t="str">
            <v>DICIEMBRE 1899</v>
          </cell>
          <cell r="G300">
            <v>0</v>
          </cell>
        </row>
        <row r="301">
          <cell r="A301" t="str">
            <v>DICIEMBRE 1899</v>
          </cell>
          <cell r="G301">
            <v>0</v>
          </cell>
        </row>
        <row r="302">
          <cell r="A302" t="str">
            <v>DICIEMBRE 1899</v>
          </cell>
          <cell r="G302">
            <v>0</v>
          </cell>
        </row>
        <row r="303">
          <cell r="A303" t="str">
            <v>DICIEMBRE 1899</v>
          </cell>
          <cell r="G303">
            <v>0</v>
          </cell>
        </row>
        <row r="304">
          <cell r="A304" t="str">
            <v>DICIEMBRE 1899</v>
          </cell>
          <cell r="G304">
            <v>0</v>
          </cell>
        </row>
        <row r="305">
          <cell r="A305" t="str">
            <v>DICIEMBRE 1899</v>
          </cell>
          <cell r="G305">
            <v>0</v>
          </cell>
        </row>
        <row r="306">
          <cell r="A306" t="str">
            <v>DICIEMBRE 1899</v>
          </cell>
          <cell r="G306">
            <v>0</v>
          </cell>
        </row>
        <row r="307">
          <cell r="A307" t="str">
            <v>DICIEMBRE 1899</v>
          </cell>
          <cell r="G307">
            <v>0</v>
          </cell>
        </row>
        <row r="308">
          <cell r="A308" t="str">
            <v>DICIEMBRE 1899</v>
          </cell>
          <cell r="G308">
            <v>0</v>
          </cell>
        </row>
        <row r="309">
          <cell r="A309" t="str">
            <v>DICIEMBRE 1899</v>
          </cell>
          <cell r="G309">
            <v>0</v>
          </cell>
        </row>
        <row r="310">
          <cell r="A310" t="str">
            <v>DICIEMBRE 1899</v>
          </cell>
          <cell r="G310">
            <v>0</v>
          </cell>
        </row>
        <row r="311">
          <cell r="A311" t="str">
            <v>DICIEMBRE 1899</v>
          </cell>
          <cell r="G311">
            <v>0</v>
          </cell>
        </row>
        <row r="312">
          <cell r="A312" t="str">
            <v>DICIEMBRE 1899</v>
          </cell>
          <cell r="G312">
            <v>0</v>
          </cell>
        </row>
        <row r="313">
          <cell r="A313" t="str">
            <v>DICIEMBRE 1899</v>
          </cell>
          <cell r="G313">
            <v>0</v>
          </cell>
        </row>
        <row r="314">
          <cell r="A314" t="str">
            <v>DICIEMBRE 1899</v>
          </cell>
          <cell r="G314">
            <v>0</v>
          </cell>
        </row>
        <row r="315">
          <cell r="A315" t="str">
            <v>DICIEMBRE 1899</v>
          </cell>
          <cell r="G315">
            <v>0</v>
          </cell>
        </row>
        <row r="316">
          <cell r="A316" t="str">
            <v>DICIEMBRE 1899</v>
          </cell>
          <cell r="G316">
            <v>0</v>
          </cell>
        </row>
        <row r="317">
          <cell r="A317" t="str">
            <v>DICIEMBRE 1899</v>
          </cell>
          <cell r="G317">
            <v>0</v>
          </cell>
        </row>
        <row r="318">
          <cell r="A318" t="str">
            <v>DICIEMBRE 1899</v>
          </cell>
          <cell r="G318">
            <v>0</v>
          </cell>
        </row>
        <row r="319">
          <cell r="A319" t="str">
            <v>DICIEMBRE 1899</v>
          </cell>
          <cell r="G319">
            <v>0</v>
          </cell>
        </row>
        <row r="320">
          <cell r="A320" t="str">
            <v>DICIEMBRE 1899</v>
          </cell>
          <cell r="G320">
            <v>0</v>
          </cell>
        </row>
        <row r="321">
          <cell r="A321" t="str">
            <v>DICIEMBRE 1899</v>
          </cell>
          <cell r="G321">
            <v>0</v>
          </cell>
        </row>
        <row r="322">
          <cell r="A322" t="str">
            <v>DICIEMBRE 1899</v>
          </cell>
          <cell r="G322">
            <v>0</v>
          </cell>
        </row>
        <row r="323">
          <cell r="A323" t="str">
            <v>DICIEMBRE 1899</v>
          </cell>
          <cell r="G323">
            <v>0</v>
          </cell>
        </row>
        <row r="324">
          <cell r="A324" t="str">
            <v>DICIEMBRE 1899</v>
          </cell>
          <cell r="G324">
            <v>0</v>
          </cell>
        </row>
        <row r="325">
          <cell r="A325" t="str">
            <v>DICIEMBRE 1899</v>
          </cell>
          <cell r="G325">
            <v>0</v>
          </cell>
        </row>
        <row r="326">
          <cell r="A326" t="str">
            <v>DICIEMBRE 1899</v>
          </cell>
          <cell r="G326">
            <v>0</v>
          </cell>
        </row>
        <row r="327">
          <cell r="A327" t="str">
            <v>DICIEMBRE 1899</v>
          </cell>
          <cell r="G327">
            <v>0</v>
          </cell>
        </row>
        <row r="328">
          <cell r="A328" t="str">
            <v>DICIEMBRE 1899</v>
          </cell>
          <cell r="G328">
            <v>0</v>
          </cell>
        </row>
        <row r="329">
          <cell r="A329" t="str">
            <v>DICIEMBRE 1899</v>
          </cell>
          <cell r="G329">
            <v>0</v>
          </cell>
        </row>
        <row r="330">
          <cell r="A330" t="str">
            <v>DICIEMBRE 1899</v>
          </cell>
          <cell r="G330">
            <v>0</v>
          </cell>
        </row>
        <row r="331">
          <cell r="A331" t="str">
            <v>DICIEMBRE 1899</v>
          </cell>
          <cell r="G331">
            <v>0</v>
          </cell>
        </row>
        <row r="332">
          <cell r="A332" t="str">
            <v>DICIEMBRE 1899</v>
          </cell>
          <cell r="G332">
            <v>0</v>
          </cell>
        </row>
        <row r="333">
          <cell r="A333" t="str">
            <v>DICIEMBRE 1899</v>
          </cell>
          <cell r="G333">
            <v>0</v>
          </cell>
        </row>
        <row r="334">
          <cell r="A334" t="str">
            <v>DICIEMBRE 1899</v>
          </cell>
          <cell r="G334">
            <v>0</v>
          </cell>
        </row>
        <row r="335">
          <cell r="A335" t="str">
            <v>DICIEMBRE 1899</v>
          </cell>
          <cell r="G335">
            <v>0</v>
          </cell>
        </row>
        <row r="336">
          <cell r="A336" t="str">
            <v>DICIEMBRE 1899</v>
          </cell>
          <cell r="G336">
            <v>0</v>
          </cell>
        </row>
        <row r="337">
          <cell r="A337" t="str">
            <v>DICIEMBRE 1899</v>
          </cell>
          <cell r="G337">
            <v>0</v>
          </cell>
        </row>
        <row r="338">
          <cell r="A338" t="str">
            <v>DICIEMBRE 1899</v>
          </cell>
          <cell r="G338">
            <v>0</v>
          </cell>
        </row>
        <row r="339">
          <cell r="A339" t="str">
            <v>DICIEMBRE 1899</v>
          </cell>
          <cell r="G339">
            <v>0</v>
          </cell>
        </row>
        <row r="340">
          <cell r="A340" t="str">
            <v>DICIEMBRE 1899</v>
          </cell>
          <cell r="G340">
            <v>0</v>
          </cell>
        </row>
        <row r="341">
          <cell r="A341" t="str">
            <v>DICIEMBRE 1899</v>
          </cell>
          <cell r="G341">
            <v>0</v>
          </cell>
        </row>
        <row r="342">
          <cell r="A342" t="str">
            <v>DICIEMBRE 1899</v>
          </cell>
          <cell r="G342">
            <v>0</v>
          </cell>
        </row>
        <row r="343">
          <cell r="A343" t="str">
            <v>DICIEMBRE 1899</v>
          </cell>
          <cell r="G343">
            <v>0</v>
          </cell>
        </row>
        <row r="344">
          <cell r="A344" t="str">
            <v>DICIEMBRE 1899</v>
          </cell>
          <cell r="G344">
            <v>0</v>
          </cell>
        </row>
        <row r="345">
          <cell r="A345" t="str">
            <v>DICIEMBRE 1899</v>
          </cell>
          <cell r="G345">
            <v>0</v>
          </cell>
        </row>
        <row r="346">
          <cell r="A346" t="str">
            <v>DICIEMBRE 1899</v>
          </cell>
          <cell r="G346">
            <v>0</v>
          </cell>
        </row>
        <row r="347">
          <cell r="A347" t="str">
            <v>DICIEMBRE 1899</v>
          </cell>
          <cell r="G347">
            <v>0</v>
          </cell>
        </row>
        <row r="348">
          <cell r="A348" t="str">
            <v>DICIEMBRE 1899</v>
          </cell>
          <cell r="G348">
            <v>0</v>
          </cell>
        </row>
        <row r="349">
          <cell r="A349" t="str">
            <v>DICIEMBRE 1899</v>
          </cell>
          <cell r="G349">
            <v>0</v>
          </cell>
        </row>
        <row r="350">
          <cell r="A350" t="str">
            <v>DICIEMBRE 1899</v>
          </cell>
          <cell r="G350">
            <v>0</v>
          </cell>
        </row>
        <row r="351">
          <cell r="A351" t="str">
            <v>DICIEMBRE 1899</v>
          </cell>
          <cell r="G351">
            <v>0</v>
          </cell>
        </row>
        <row r="352">
          <cell r="A352" t="str">
            <v>DICIEMBRE 1899</v>
          </cell>
          <cell r="G352">
            <v>0</v>
          </cell>
        </row>
        <row r="353">
          <cell r="A353" t="str">
            <v>DICIEMBRE 1899</v>
          </cell>
          <cell r="G353">
            <v>0</v>
          </cell>
        </row>
        <row r="354">
          <cell r="A354" t="str">
            <v>DICIEMBRE 1899</v>
          </cell>
          <cell r="G354">
            <v>0</v>
          </cell>
        </row>
        <row r="355">
          <cell r="A355" t="str">
            <v>DICIEMBRE 1899</v>
          </cell>
          <cell r="G355">
            <v>0</v>
          </cell>
        </row>
        <row r="356">
          <cell r="A356" t="str">
            <v>DICIEMBRE 1899</v>
          </cell>
          <cell r="G356">
            <v>0</v>
          </cell>
        </row>
        <row r="357">
          <cell r="A357" t="str">
            <v>DICIEMBRE 1899</v>
          </cell>
          <cell r="G357">
            <v>0</v>
          </cell>
        </row>
        <row r="358">
          <cell r="A358" t="str">
            <v>DICIEMBRE 1899</v>
          </cell>
          <cell r="G358">
            <v>0</v>
          </cell>
        </row>
        <row r="359">
          <cell r="A359" t="str">
            <v>DICIEMBRE 1899</v>
          </cell>
          <cell r="G359">
            <v>0</v>
          </cell>
        </row>
        <row r="360">
          <cell r="A360" t="str">
            <v>DICIEMBRE 1899</v>
          </cell>
          <cell r="G360">
            <v>0</v>
          </cell>
        </row>
        <row r="361">
          <cell r="A361" t="str">
            <v>DICIEMBRE 1899</v>
          </cell>
          <cell r="G361">
            <v>0</v>
          </cell>
        </row>
        <row r="362">
          <cell r="A362" t="str">
            <v>DICIEMBRE 1899</v>
          </cell>
          <cell r="G362">
            <v>0</v>
          </cell>
        </row>
        <row r="363">
          <cell r="A363" t="str">
            <v>DICIEMBRE 1899</v>
          </cell>
          <cell r="G363">
            <v>0</v>
          </cell>
        </row>
        <row r="364">
          <cell r="A364" t="str">
            <v>DICIEMBRE 1899</v>
          </cell>
          <cell r="G364">
            <v>0</v>
          </cell>
        </row>
        <row r="365">
          <cell r="A365" t="str">
            <v>DICIEMBRE 1899</v>
          </cell>
          <cell r="G365">
            <v>0</v>
          </cell>
        </row>
        <row r="366">
          <cell r="A366" t="str">
            <v>DICIEMBRE 1899</v>
          </cell>
          <cell r="G366">
            <v>0</v>
          </cell>
        </row>
        <row r="367">
          <cell r="A367" t="str">
            <v>DICIEMBRE 1899</v>
          </cell>
          <cell r="G367">
            <v>0</v>
          </cell>
        </row>
        <row r="368">
          <cell r="A368" t="str">
            <v>DICIEMBRE 1899</v>
          </cell>
          <cell r="G368">
            <v>0</v>
          </cell>
        </row>
        <row r="369">
          <cell r="A369" t="str">
            <v>DICIEMBRE 1899</v>
          </cell>
          <cell r="G369">
            <v>0</v>
          </cell>
        </row>
        <row r="370">
          <cell r="A370" t="str">
            <v>DICIEMBRE 1899</v>
          </cell>
          <cell r="G370">
            <v>0</v>
          </cell>
        </row>
        <row r="371">
          <cell r="A371" t="str">
            <v>DICIEMBRE 1899</v>
          </cell>
          <cell r="G371">
            <v>0</v>
          </cell>
        </row>
        <row r="372">
          <cell r="A372" t="str">
            <v>DICIEMBRE 1899</v>
          </cell>
          <cell r="G372">
            <v>0</v>
          </cell>
        </row>
        <row r="373">
          <cell r="A373" t="str">
            <v>DICIEMBRE 1899</v>
          </cell>
          <cell r="G373">
            <v>0</v>
          </cell>
        </row>
        <row r="374">
          <cell r="A374" t="str">
            <v>DICIEMBRE 1899</v>
          </cell>
          <cell r="G374">
            <v>0</v>
          </cell>
        </row>
        <row r="375">
          <cell r="A375" t="str">
            <v>DICIEMBRE 1899</v>
          </cell>
          <cell r="G375">
            <v>0</v>
          </cell>
        </row>
        <row r="376">
          <cell r="A376" t="str">
            <v>DICIEMBRE 1899</v>
          </cell>
          <cell r="G376">
            <v>0</v>
          </cell>
        </row>
        <row r="377">
          <cell r="A377" t="str">
            <v>DICIEMBRE 1899</v>
          </cell>
          <cell r="G377">
            <v>0</v>
          </cell>
        </row>
        <row r="378">
          <cell r="A378" t="str">
            <v>DICIEMBRE 1899</v>
          </cell>
          <cell r="G378">
            <v>0</v>
          </cell>
        </row>
        <row r="379">
          <cell r="A379" t="str">
            <v>DICIEMBRE 1899</v>
          </cell>
          <cell r="G379">
            <v>0</v>
          </cell>
        </row>
        <row r="380">
          <cell r="A380" t="str">
            <v>DICIEMBRE 1899</v>
          </cell>
          <cell r="G380">
            <v>0</v>
          </cell>
        </row>
        <row r="381">
          <cell r="A381" t="str">
            <v>DICIEMBRE 1899</v>
          </cell>
          <cell r="G381">
            <v>0</v>
          </cell>
        </row>
        <row r="382">
          <cell r="A382" t="str">
            <v>DICIEMBRE 1899</v>
          </cell>
          <cell r="G382">
            <v>0</v>
          </cell>
        </row>
        <row r="383">
          <cell r="A383" t="str">
            <v>DICIEMBRE 1899</v>
          </cell>
          <cell r="G383">
            <v>0</v>
          </cell>
        </row>
        <row r="384">
          <cell r="A384" t="str">
            <v>DICIEMBRE 1899</v>
          </cell>
          <cell r="G384">
            <v>0</v>
          </cell>
        </row>
        <row r="385">
          <cell r="A385" t="str">
            <v>DICIEMBRE 1899</v>
          </cell>
          <cell r="G385">
            <v>0</v>
          </cell>
        </row>
        <row r="386">
          <cell r="A386" t="str">
            <v>DICIEMBRE 1899</v>
          </cell>
          <cell r="G386">
            <v>0</v>
          </cell>
        </row>
        <row r="387">
          <cell r="A387" t="str">
            <v>DICIEMBRE 1899</v>
          </cell>
          <cell r="G387">
            <v>0</v>
          </cell>
        </row>
        <row r="388">
          <cell r="A388" t="str">
            <v>DICIEMBRE 1899</v>
          </cell>
          <cell r="G388">
            <v>0</v>
          </cell>
        </row>
        <row r="389">
          <cell r="A389" t="str">
            <v>DICIEMBRE 1899</v>
          </cell>
          <cell r="G389">
            <v>0</v>
          </cell>
        </row>
        <row r="390">
          <cell r="A390" t="str">
            <v>DICIEMBRE 1899</v>
          </cell>
          <cell r="G390">
            <v>0</v>
          </cell>
        </row>
        <row r="391">
          <cell r="A391" t="str">
            <v>DICIEMBRE 1899</v>
          </cell>
          <cell r="G391">
            <v>0</v>
          </cell>
        </row>
        <row r="392">
          <cell r="A392" t="str">
            <v>DICIEMBRE 1899</v>
          </cell>
          <cell r="G392">
            <v>0</v>
          </cell>
        </row>
        <row r="393">
          <cell r="A393" t="str">
            <v>DICIEMBRE 1899</v>
          </cell>
          <cell r="G393">
            <v>0</v>
          </cell>
        </row>
        <row r="394">
          <cell r="A394" t="str">
            <v>DICIEMBRE 1899</v>
          </cell>
          <cell r="G394">
            <v>0</v>
          </cell>
        </row>
        <row r="395">
          <cell r="A395" t="str">
            <v>DICIEMBRE 1899</v>
          </cell>
          <cell r="G395">
            <v>0</v>
          </cell>
        </row>
        <row r="396">
          <cell r="A396" t="str">
            <v>DICIEMBRE 1899</v>
          </cell>
          <cell r="G396">
            <v>0</v>
          </cell>
        </row>
        <row r="397">
          <cell r="A397" t="str">
            <v>DICIEMBRE 1899</v>
          </cell>
          <cell r="G397">
            <v>0</v>
          </cell>
        </row>
        <row r="398">
          <cell r="A398" t="str">
            <v>DICIEMBRE 1899</v>
          </cell>
          <cell r="G398">
            <v>0</v>
          </cell>
        </row>
        <row r="399">
          <cell r="A399" t="str">
            <v>DICIEMBRE 1899</v>
          </cell>
          <cell r="G399">
            <v>0</v>
          </cell>
        </row>
        <row r="400">
          <cell r="A400" t="str">
            <v>DICIEMBRE 1899</v>
          </cell>
          <cell r="G400">
            <v>0</v>
          </cell>
        </row>
        <row r="401">
          <cell r="A401" t="str">
            <v>DICIEMBRE 1899</v>
          </cell>
          <cell r="G401">
            <v>0</v>
          </cell>
        </row>
        <row r="402">
          <cell r="A402" t="str">
            <v>DICIEMBRE 1899</v>
          </cell>
          <cell r="G402">
            <v>0</v>
          </cell>
        </row>
        <row r="403">
          <cell r="A403" t="str">
            <v>DICIEMBRE 1899</v>
          </cell>
          <cell r="G403">
            <v>0</v>
          </cell>
        </row>
        <row r="404">
          <cell r="A404" t="str">
            <v>DICIEMBRE 1899</v>
          </cell>
          <cell r="G404">
            <v>0</v>
          </cell>
        </row>
        <row r="405">
          <cell r="A405" t="str">
            <v>DICIEMBRE 1899</v>
          </cell>
          <cell r="G405">
            <v>0</v>
          </cell>
        </row>
        <row r="406">
          <cell r="A406" t="str">
            <v>DICIEMBRE 1899</v>
          </cell>
          <cell r="G406">
            <v>0</v>
          </cell>
        </row>
        <row r="407">
          <cell r="A407" t="str">
            <v>DICIEMBRE 1899</v>
          </cell>
          <cell r="G407">
            <v>0</v>
          </cell>
        </row>
        <row r="408">
          <cell r="A408" t="str">
            <v>DICIEMBRE 1899</v>
          </cell>
          <cell r="G408">
            <v>0</v>
          </cell>
        </row>
        <row r="409">
          <cell r="A409" t="str">
            <v>DICIEMBRE 1899</v>
          </cell>
          <cell r="G409">
            <v>0</v>
          </cell>
        </row>
        <row r="410">
          <cell r="A410" t="str">
            <v>DICIEMBRE 1899</v>
          </cell>
          <cell r="G410">
            <v>0</v>
          </cell>
        </row>
        <row r="411">
          <cell r="A411" t="str">
            <v>DICIEMBRE 1899</v>
          </cell>
          <cell r="G411">
            <v>0</v>
          </cell>
        </row>
        <row r="412">
          <cell r="A412" t="str">
            <v>DICIEMBRE 1899</v>
          </cell>
          <cell r="G412">
            <v>0</v>
          </cell>
        </row>
        <row r="413">
          <cell r="A413" t="str">
            <v>DICIEMBRE 1899</v>
          </cell>
          <cell r="G413">
            <v>0</v>
          </cell>
        </row>
        <row r="414">
          <cell r="A414" t="str">
            <v>DICIEMBRE 1899</v>
          </cell>
          <cell r="G414">
            <v>0</v>
          </cell>
        </row>
        <row r="415">
          <cell r="A415" t="str">
            <v>DICIEMBRE 1899</v>
          </cell>
          <cell r="G415">
            <v>0</v>
          </cell>
        </row>
        <row r="416">
          <cell r="A416" t="str">
            <v>DICIEMBRE 1899</v>
          </cell>
          <cell r="G416">
            <v>0</v>
          </cell>
        </row>
        <row r="417">
          <cell r="A417" t="str">
            <v>DICIEMBRE 1899</v>
          </cell>
          <cell r="G417">
            <v>0</v>
          </cell>
        </row>
        <row r="418">
          <cell r="A418" t="str">
            <v>DICIEMBRE 1899</v>
          </cell>
          <cell r="G418">
            <v>0</v>
          </cell>
        </row>
        <row r="419">
          <cell r="A419" t="str">
            <v>DICIEMBRE 1899</v>
          </cell>
          <cell r="G419">
            <v>0</v>
          </cell>
        </row>
        <row r="420">
          <cell r="A420" t="str">
            <v>DICIEMBRE 1899</v>
          </cell>
          <cell r="G420">
            <v>0</v>
          </cell>
        </row>
        <row r="421">
          <cell r="A421" t="str">
            <v>DICIEMBRE 1899</v>
          </cell>
          <cell r="G421">
            <v>0</v>
          </cell>
        </row>
        <row r="422">
          <cell r="A422" t="str">
            <v>DICIEMBRE 1899</v>
          </cell>
          <cell r="G422">
            <v>0</v>
          </cell>
        </row>
        <row r="423">
          <cell r="A423" t="str">
            <v>DICIEMBRE 1899</v>
          </cell>
          <cell r="G423">
            <v>0</v>
          </cell>
        </row>
        <row r="424">
          <cell r="A424" t="str">
            <v>DICIEMBRE 1899</v>
          </cell>
          <cell r="G424">
            <v>0</v>
          </cell>
        </row>
        <row r="425">
          <cell r="A425" t="str">
            <v>DICIEMBRE 1899</v>
          </cell>
          <cell r="G425">
            <v>0</v>
          </cell>
        </row>
        <row r="426">
          <cell r="A426" t="str">
            <v>DICIEMBRE 1899</v>
          </cell>
          <cell r="G426">
            <v>0</v>
          </cell>
        </row>
        <row r="427">
          <cell r="A427" t="str">
            <v>DICIEMBRE 1899</v>
          </cell>
          <cell r="G427">
            <v>0</v>
          </cell>
        </row>
        <row r="428">
          <cell r="A428" t="str">
            <v>DICIEMBRE 1899</v>
          </cell>
          <cell r="G428">
            <v>0</v>
          </cell>
        </row>
        <row r="429">
          <cell r="A429" t="str">
            <v>DICIEMBRE 1899</v>
          </cell>
          <cell r="G429">
            <v>0</v>
          </cell>
        </row>
        <row r="430">
          <cell r="A430" t="str">
            <v>DICIEMBRE 1899</v>
          </cell>
          <cell r="G430">
            <v>0</v>
          </cell>
        </row>
        <row r="431">
          <cell r="A431" t="str">
            <v>DICIEMBRE 1899</v>
          </cell>
          <cell r="G431">
            <v>0</v>
          </cell>
        </row>
        <row r="432">
          <cell r="A432" t="str">
            <v>DICIEMBRE 1899</v>
          </cell>
          <cell r="G432">
            <v>0</v>
          </cell>
        </row>
        <row r="433">
          <cell r="A433" t="str">
            <v>DICIEMBRE 1899</v>
          </cell>
          <cell r="G433">
            <v>0</v>
          </cell>
        </row>
        <row r="434">
          <cell r="A434" t="str">
            <v>DICIEMBRE 1899</v>
          </cell>
          <cell r="G434">
            <v>0</v>
          </cell>
        </row>
        <row r="435">
          <cell r="A435" t="str">
            <v>DICIEMBRE 1899</v>
          </cell>
          <cell r="G435">
            <v>0</v>
          </cell>
        </row>
        <row r="436">
          <cell r="A436" t="str">
            <v>DICIEMBRE 1899</v>
          </cell>
          <cell r="G436">
            <v>0</v>
          </cell>
        </row>
        <row r="437">
          <cell r="A437" t="str">
            <v>DICIEMBRE 1899</v>
          </cell>
          <cell r="G437">
            <v>0</v>
          </cell>
        </row>
        <row r="438">
          <cell r="A438" t="str">
            <v>DICIEMBRE 1899</v>
          </cell>
          <cell r="G438">
            <v>0</v>
          </cell>
        </row>
        <row r="439">
          <cell r="A439" t="str">
            <v>DICIEMBRE 1899</v>
          </cell>
          <cell r="G439">
            <v>0</v>
          </cell>
        </row>
        <row r="440">
          <cell r="A440" t="str">
            <v>DICIEMBRE 1899</v>
          </cell>
          <cell r="G440">
            <v>0</v>
          </cell>
        </row>
        <row r="441">
          <cell r="A441" t="str">
            <v>DICIEMBRE 1899</v>
          </cell>
          <cell r="G441">
            <v>0</v>
          </cell>
        </row>
        <row r="442">
          <cell r="A442" t="str">
            <v>DICIEMBRE 1899</v>
          </cell>
          <cell r="G442">
            <v>0</v>
          </cell>
        </row>
        <row r="443">
          <cell r="A443" t="str">
            <v>DICIEMBRE 1899</v>
          </cell>
          <cell r="G443">
            <v>0</v>
          </cell>
        </row>
        <row r="444">
          <cell r="A444" t="str">
            <v>DICIEMBRE 1899</v>
          </cell>
          <cell r="G444">
            <v>0</v>
          </cell>
        </row>
        <row r="445">
          <cell r="A445" t="str">
            <v>DICIEMBRE 1899</v>
          </cell>
          <cell r="G445">
            <v>0</v>
          </cell>
        </row>
        <row r="446">
          <cell r="A446" t="str">
            <v>DICIEMBRE 1899</v>
          </cell>
          <cell r="G446">
            <v>0</v>
          </cell>
        </row>
        <row r="447">
          <cell r="A447" t="str">
            <v>DICIEMBRE 1899</v>
          </cell>
          <cell r="G447">
            <v>0</v>
          </cell>
        </row>
        <row r="448">
          <cell r="A448" t="str">
            <v>DICIEMBRE 1899</v>
          </cell>
          <cell r="G448">
            <v>0</v>
          </cell>
        </row>
        <row r="449">
          <cell r="A449" t="str">
            <v>DICIEMBRE 1899</v>
          </cell>
          <cell r="G449">
            <v>0</v>
          </cell>
        </row>
        <row r="450">
          <cell r="A450" t="str">
            <v>DICIEMBRE 1899</v>
          </cell>
          <cell r="G450">
            <v>0</v>
          </cell>
        </row>
        <row r="451">
          <cell r="A451" t="str">
            <v>DICIEMBRE 1899</v>
          </cell>
          <cell r="G451">
            <v>0</v>
          </cell>
        </row>
        <row r="452">
          <cell r="A452" t="str">
            <v>DICIEMBRE 1899</v>
          </cell>
          <cell r="G452">
            <v>0</v>
          </cell>
        </row>
        <row r="453">
          <cell r="A453" t="str">
            <v>DICIEMBRE 1899</v>
          </cell>
          <cell r="G453">
            <v>0</v>
          </cell>
        </row>
        <row r="454">
          <cell r="A454" t="str">
            <v>DICIEMBRE 1899</v>
          </cell>
          <cell r="G454">
            <v>0</v>
          </cell>
        </row>
        <row r="455">
          <cell r="A455" t="str">
            <v>DICIEMBRE 1899</v>
          </cell>
          <cell r="G455">
            <v>0</v>
          </cell>
        </row>
        <row r="456">
          <cell r="A456" t="str">
            <v>DICIEMBRE 1899</v>
          </cell>
          <cell r="G456">
            <v>0</v>
          </cell>
        </row>
        <row r="457">
          <cell r="A457" t="str">
            <v>DICIEMBRE 1899</v>
          </cell>
          <cell r="G457">
            <v>0</v>
          </cell>
        </row>
        <row r="458">
          <cell r="A458" t="str">
            <v>DICIEMBRE 1899</v>
          </cell>
          <cell r="G458">
            <v>0</v>
          </cell>
        </row>
        <row r="459">
          <cell r="A459" t="str">
            <v>DICIEMBRE 1899</v>
          </cell>
          <cell r="G459">
            <v>0</v>
          </cell>
        </row>
        <row r="460">
          <cell r="A460" t="str">
            <v>DICIEMBRE 1899</v>
          </cell>
          <cell r="G460">
            <v>0</v>
          </cell>
        </row>
        <row r="461">
          <cell r="A461" t="str">
            <v>DICIEMBRE 1899</v>
          </cell>
          <cell r="G461">
            <v>0</v>
          </cell>
        </row>
        <row r="462">
          <cell r="A462" t="str">
            <v>DICIEMBRE 1899</v>
          </cell>
          <cell r="G462">
            <v>0</v>
          </cell>
        </row>
        <row r="463">
          <cell r="A463" t="str">
            <v>DICIEMBRE 1899</v>
          </cell>
          <cell r="G463">
            <v>0</v>
          </cell>
        </row>
        <row r="464">
          <cell r="A464" t="str">
            <v>DICIEMBRE 1899</v>
          </cell>
          <cell r="G464">
            <v>0</v>
          </cell>
        </row>
        <row r="465">
          <cell r="A465" t="str">
            <v>DICIEMBRE 1899</v>
          </cell>
          <cell r="G465">
            <v>0</v>
          </cell>
        </row>
        <row r="466">
          <cell r="A466" t="str">
            <v>DICIEMBRE 1899</v>
          </cell>
          <cell r="G466">
            <v>0</v>
          </cell>
        </row>
        <row r="467">
          <cell r="A467" t="str">
            <v>DICIEMBRE 1899</v>
          </cell>
          <cell r="G467">
            <v>0</v>
          </cell>
        </row>
        <row r="468">
          <cell r="A468" t="str">
            <v>DICIEMBRE 1899</v>
          </cell>
          <cell r="G468">
            <v>0</v>
          </cell>
        </row>
        <row r="469">
          <cell r="A469" t="str">
            <v>DICIEMBRE 1899</v>
          </cell>
          <cell r="G469">
            <v>0</v>
          </cell>
        </row>
        <row r="470">
          <cell r="A470" t="str">
            <v>DICIEMBRE 1899</v>
          </cell>
          <cell r="G470">
            <v>0</v>
          </cell>
        </row>
        <row r="471">
          <cell r="A471" t="str">
            <v>DICIEMBRE 1899</v>
          </cell>
          <cell r="G471">
            <v>0</v>
          </cell>
        </row>
        <row r="472">
          <cell r="A472" t="str">
            <v>DICIEMBRE 1899</v>
          </cell>
          <cell r="G472">
            <v>0</v>
          </cell>
        </row>
        <row r="473">
          <cell r="A473" t="str">
            <v>DICIEMBRE 1899</v>
          </cell>
          <cell r="G473">
            <v>0</v>
          </cell>
        </row>
        <row r="474">
          <cell r="A474" t="str">
            <v>DICIEMBRE 1899</v>
          </cell>
          <cell r="G474">
            <v>0</v>
          </cell>
        </row>
        <row r="475">
          <cell r="A475" t="str">
            <v>DICIEMBRE 1899</v>
          </cell>
          <cell r="G475">
            <v>0</v>
          </cell>
        </row>
        <row r="476">
          <cell r="A476" t="str">
            <v>DICIEMBRE 1899</v>
          </cell>
          <cell r="G476">
            <v>0</v>
          </cell>
        </row>
        <row r="477">
          <cell r="A477" t="str">
            <v>DICIEMBRE 1899</v>
          </cell>
          <cell r="G477">
            <v>0</v>
          </cell>
        </row>
        <row r="478">
          <cell r="A478" t="str">
            <v>DICIEMBRE 1899</v>
          </cell>
          <cell r="G478">
            <v>0</v>
          </cell>
        </row>
        <row r="479">
          <cell r="A479" t="str">
            <v>DICIEMBRE 1899</v>
          </cell>
          <cell r="G479">
            <v>0</v>
          </cell>
        </row>
        <row r="480">
          <cell r="A480" t="str">
            <v>DICIEMBRE 1899</v>
          </cell>
          <cell r="G480">
            <v>0</v>
          </cell>
        </row>
        <row r="481">
          <cell r="A481" t="str">
            <v>DICIEMBRE 1899</v>
          </cell>
          <cell r="G481">
            <v>0</v>
          </cell>
        </row>
        <row r="482">
          <cell r="A482" t="str">
            <v>DICIEMBRE 1899</v>
          </cell>
          <cell r="G482">
            <v>0</v>
          </cell>
        </row>
        <row r="483">
          <cell r="A483" t="str">
            <v>DICIEMBRE 1899</v>
          </cell>
          <cell r="G483">
            <v>0</v>
          </cell>
        </row>
        <row r="484">
          <cell r="A484" t="str">
            <v>DICIEMBRE 1899</v>
          </cell>
          <cell r="G484">
            <v>0</v>
          </cell>
        </row>
        <row r="485">
          <cell r="A485" t="str">
            <v>DICIEMBRE 1899</v>
          </cell>
          <cell r="G485">
            <v>0</v>
          </cell>
        </row>
        <row r="486">
          <cell r="A486" t="str">
            <v>DICIEMBRE 1899</v>
          </cell>
          <cell r="G486">
            <v>0</v>
          </cell>
        </row>
        <row r="487">
          <cell r="A487" t="str">
            <v>DICIEMBRE 1899</v>
          </cell>
          <cell r="G487">
            <v>0</v>
          </cell>
        </row>
        <row r="488">
          <cell r="A488" t="str">
            <v>DICIEMBRE 1899</v>
          </cell>
          <cell r="G488">
            <v>0</v>
          </cell>
        </row>
        <row r="489">
          <cell r="A489" t="str">
            <v>DICIEMBRE 1899</v>
          </cell>
          <cell r="G489">
            <v>0</v>
          </cell>
        </row>
        <row r="490">
          <cell r="A490" t="str">
            <v>DICIEMBRE 1899</v>
          </cell>
          <cell r="G490">
            <v>0</v>
          </cell>
        </row>
        <row r="491">
          <cell r="A491" t="str">
            <v>DICIEMBRE 1899</v>
          </cell>
          <cell r="G491">
            <v>0</v>
          </cell>
        </row>
        <row r="492">
          <cell r="A492" t="str">
            <v>DICIEMBRE 1899</v>
          </cell>
          <cell r="G492">
            <v>0</v>
          </cell>
        </row>
        <row r="493">
          <cell r="A493" t="str">
            <v>DICIEMBRE 1899</v>
          </cell>
          <cell r="G493">
            <v>0</v>
          </cell>
        </row>
        <row r="494">
          <cell r="A494" t="str">
            <v>DICIEMBRE 1899</v>
          </cell>
          <cell r="G494">
            <v>0</v>
          </cell>
        </row>
        <row r="495">
          <cell r="A495" t="str">
            <v>DICIEMBRE 1899</v>
          </cell>
          <cell r="G495">
            <v>0</v>
          </cell>
        </row>
        <row r="496">
          <cell r="A496" t="str">
            <v>DICIEMBRE 1899</v>
          </cell>
          <cell r="G496">
            <v>0</v>
          </cell>
        </row>
        <row r="497">
          <cell r="A497" t="str">
            <v>DICIEMBRE 1899</v>
          </cell>
          <cell r="G497">
            <v>0</v>
          </cell>
        </row>
        <row r="498">
          <cell r="A498" t="str">
            <v>DICIEMBRE 1899</v>
          </cell>
          <cell r="G498">
            <v>0</v>
          </cell>
        </row>
        <row r="499">
          <cell r="A499" t="str">
            <v>DICIEMBRE 1899</v>
          </cell>
          <cell r="G499">
            <v>0</v>
          </cell>
        </row>
        <row r="500">
          <cell r="A500" t="str">
            <v>DICIEMBRE 1899</v>
          </cell>
          <cell r="G500">
            <v>0</v>
          </cell>
        </row>
        <row r="501">
          <cell r="A501" t="str">
            <v>DICIEMBRE 1899</v>
          </cell>
          <cell r="G501">
            <v>0</v>
          </cell>
        </row>
        <row r="502">
          <cell r="A502" t="str">
            <v>DICIEMBRE 1899</v>
          </cell>
          <cell r="G502">
            <v>0</v>
          </cell>
        </row>
        <row r="503">
          <cell r="A503" t="str">
            <v>DICIEMBRE 1899</v>
          </cell>
          <cell r="G503">
            <v>0</v>
          </cell>
        </row>
        <row r="504">
          <cell r="A504" t="str">
            <v>DICIEMBRE 1899</v>
          </cell>
          <cell r="G504">
            <v>0</v>
          </cell>
        </row>
        <row r="505">
          <cell r="A505" t="str">
            <v>DICIEMBRE 1899</v>
          </cell>
          <cell r="G505">
            <v>0</v>
          </cell>
        </row>
        <row r="506">
          <cell r="A506" t="str">
            <v>DICIEMBRE 1899</v>
          </cell>
          <cell r="G506">
            <v>0</v>
          </cell>
        </row>
        <row r="507">
          <cell r="A507" t="str">
            <v>DICIEMBRE 1899</v>
          </cell>
          <cell r="G507">
            <v>0</v>
          </cell>
        </row>
        <row r="508">
          <cell r="A508" t="str">
            <v>DICIEMBRE 1899</v>
          </cell>
          <cell r="G508">
            <v>0</v>
          </cell>
        </row>
        <row r="509">
          <cell r="A509" t="str">
            <v>DICIEMBRE 1899</v>
          </cell>
          <cell r="G509">
            <v>0</v>
          </cell>
        </row>
        <row r="510">
          <cell r="A510" t="str">
            <v>DICIEMBRE 1899</v>
          </cell>
          <cell r="G510">
            <v>0</v>
          </cell>
        </row>
        <row r="511">
          <cell r="A511" t="str">
            <v>DICIEMBRE 1899</v>
          </cell>
          <cell r="G511">
            <v>0</v>
          </cell>
        </row>
        <row r="512">
          <cell r="A512" t="str">
            <v>DICIEMBRE 1899</v>
          </cell>
          <cell r="G512">
            <v>0</v>
          </cell>
        </row>
        <row r="513">
          <cell r="A513" t="str">
            <v>DICIEMBRE 1899</v>
          </cell>
          <cell r="G513">
            <v>0</v>
          </cell>
        </row>
        <row r="514">
          <cell r="A514" t="str">
            <v>DICIEMBRE 1899</v>
          </cell>
          <cell r="G514">
            <v>0</v>
          </cell>
        </row>
        <row r="515">
          <cell r="A515" t="str">
            <v>DICIEMBRE 1899</v>
          </cell>
          <cell r="G515">
            <v>0</v>
          </cell>
        </row>
        <row r="516">
          <cell r="A516" t="str">
            <v>DICIEMBRE 1899</v>
          </cell>
          <cell r="G516">
            <v>0</v>
          </cell>
        </row>
        <row r="517">
          <cell r="A517" t="str">
            <v>DICIEMBRE 1899</v>
          </cell>
          <cell r="G517">
            <v>0</v>
          </cell>
        </row>
        <row r="518">
          <cell r="A518" t="str">
            <v>DICIEMBRE 1899</v>
          </cell>
          <cell r="G518">
            <v>0</v>
          </cell>
        </row>
        <row r="519">
          <cell r="A519" t="str">
            <v>DICIEMBRE 1899</v>
          </cell>
          <cell r="G519">
            <v>0</v>
          </cell>
        </row>
        <row r="520">
          <cell r="A520" t="str">
            <v>DICIEMBRE 1899</v>
          </cell>
          <cell r="G520">
            <v>0</v>
          </cell>
        </row>
        <row r="521">
          <cell r="A521" t="str">
            <v>DICIEMBRE 1899</v>
          </cell>
          <cell r="G521">
            <v>0</v>
          </cell>
        </row>
        <row r="522">
          <cell r="A522" t="str">
            <v>DICIEMBRE 1899</v>
          </cell>
          <cell r="G522">
            <v>0</v>
          </cell>
        </row>
        <row r="523">
          <cell r="A523" t="str">
            <v>DICIEMBRE 1899</v>
          </cell>
          <cell r="G523">
            <v>0</v>
          </cell>
        </row>
        <row r="524">
          <cell r="A524" t="str">
            <v>DICIEMBRE 1899</v>
          </cell>
          <cell r="G524">
            <v>0</v>
          </cell>
        </row>
        <row r="525">
          <cell r="A525" t="str">
            <v>DICIEMBRE 1899</v>
          </cell>
          <cell r="G525">
            <v>0</v>
          </cell>
        </row>
        <row r="526">
          <cell r="A526" t="str">
            <v>DICIEMBRE 1899</v>
          </cell>
          <cell r="G526">
            <v>0</v>
          </cell>
        </row>
        <row r="527">
          <cell r="A527" t="str">
            <v>DICIEMBRE 1899</v>
          </cell>
          <cell r="G527">
            <v>0</v>
          </cell>
        </row>
        <row r="528">
          <cell r="A528" t="str">
            <v>DICIEMBRE 1899</v>
          </cell>
          <cell r="G528">
            <v>0</v>
          </cell>
        </row>
        <row r="529">
          <cell r="A529" t="str">
            <v>DICIEMBRE 1899</v>
          </cell>
          <cell r="G529">
            <v>0</v>
          </cell>
        </row>
        <row r="530">
          <cell r="A530" t="str">
            <v>DICIEMBRE 1899</v>
          </cell>
          <cell r="G530">
            <v>0</v>
          </cell>
        </row>
        <row r="531">
          <cell r="A531" t="str">
            <v>DICIEMBRE 1899</v>
          </cell>
          <cell r="G531">
            <v>0</v>
          </cell>
        </row>
        <row r="532">
          <cell r="A532" t="str">
            <v>DICIEMBRE 1899</v>
          </cell>
          <cell r="G532">
            <v>0</v>
          </cell>
        </row>
        <row r="533">
          <cell r="A533" t="str">
            <v>DICIEMBRE 1899</v>
          </cell>
          <cell r="G533">
            <v>0</v>
          </cell>
        </row>
        <row r="534">
          <cell r="A534" t="str">
            <v>DICIEMBRE 1899</v>
          </cell>
          <cell r="G534">
            <v>0</v>
          </cell>
        </row>
        <row r="535">
          <cell r="A535" t="str">
            <v>DICIEMBRE 1899</v>
          </cell>
          <cell r="G535">
            <v>0</v>
          </cell>
        </row>
        <row r="536">
          <cell r="A536" t="str">
            <v>DICIEMBRE 1899</v>
          </cell>
          <cell r="G536">
            <v>0</v>
          </cell>
        </row>
        <row r="537">
          <cell r="A537" t="str">
            <v>DICIEMBRE 1899</v>
          </cell>
          <cell r="G537">
            <v>0</v>
          </cell>
        </row>
        <row r="538">
          <cell r="A538" t="str">
            <v>DICIEMBRE 1899</v>
          </cell>
          <cell r="G538">
            <v>0</v>
          </cell>
        </row>
        <row r="539">
          <cell r="A539" t="str">
            <v>DICIEMBRE 1899</v>
          </cell>
          <cell r="G539">
            <v>0</v>
          </cell>
        </row>
        <row r="540">
          <cell r="A540" t="str">
            <v>DICIEMBRE 1899</v>
          </cell>
          <cell r="G540">
            <v>0</v>
          </cell>
        </row>
        <row r="541">
          <cell r="A541" t="str">
            <v>DICIEMBRE 1899</v>
          </cell>
          <cell r="G541">
            <v>0</v>
          </cell>
        </row>
        <row r="542">
          <cell r="A542" t="str">
            <v>DICIEMBRE 1899</v>
          </cell>
          <cell r="G542">
            <v>0</v>
          </cell>
        </row>
        <row r="543">
          <cell r="A543" t="str">
            <v>DICIEMBRE 1899</v>
          </cell>
          <cell r="G543">
            <v>0</v>
          </cell>
        </row>
        <row r="544">
          <cell r="A544" t="str">
            <v>DICIEMBRE 1899</v>
          </cell>
          <cell r="G544">
            <v>0</v>
          </cell>
        </row>
        <row r="545">
          <cell r="A545" t="str">
            <v>DICIEMBRE 1899</v>
          </cell>
          <cell r="G545">
            <v>0</v>
          </cell>
        </row>
        <row r="546">
          <cell r="A546" t="str">
            <v>DICIEMBRE 1899</v>
          </cell>
          <cell r="G546">
            <v>0</v>
          </cell>
        </row>
        <row r="547">
          <cell r="A547" t="str">
            <v>DICIEMBRE 1899</v>
          </cell>
          <cell r="G547">
            <v>0</v>
          </cell>
        </row>
        <row r="548">
          <cell r="A548" t="str">
            <v>DICIEMBRE 1899</v>
          </cell>
          <cell r="G548">
            <v>0</v>
          </cell>
        </row>
        <row r="549">
          <cell r="A549" t="str">
            <v>DICIEMBRE 1899</v>
          </cell>
          <cell r="G549">
            <v>0</v>
          </cell>
        </row>
        <row r="550">
          <cell r="A550" t="str">
            <v>DICIEMBRE 1899</v>
          </cell>
          <cell r="G550">
            <v>0</v>
          </cell>
        </row>
        <row r="551">
          <cell r="A551" t="str">
            <v>DICIEMBRE 1899</v>
          </cell>
          <cell r="G551">
            <v>0</v>
          </cell>
        </row>
        <row r="552">
          <cell r="A552" t="str">
            <v>DICIEMBRE 1899</v>
          </cell>
          <cell r="G552">
            <v>0</v>
          </cell>
        </row>
        <row r="553">
          <cell r="A553" t="str">
            <v>DICIEMBRE 1899</v>
          </cell>
          <cell r="G553">
            <v>0</v>
          </cell>
        </row>
        <row r="554">
          <cell r="A554" t="str">
            <v>DICIEMBRE 1899</v>
          </cell>
          <cell r="G554">
            <v>0</v>
          </cell>
        </row>
        <row r="555">
          <cell r="A555" t="str">
            <v>DICIEMBRE 1899</v>
          </cell>
          <cell r="G555">
            <v>0</v>
          </cell>
        </row>
        <row r="556">
          <cell r="A556" t="str">
            <v>DICIEMBRE 1899</v>
          </cell>
          <cell r="G556">
            <v>0</v>
          </cell>
        </row>
        <row r="557">
          <cell r="A557" t="str">
            <v>DICIEMBRE 1899</v>
          </cell>
          <cell r="G557">
            <v>0</v>
          </cell>
        </row>
        <row r="558">
          <cell r="A558" t="str">
            <v>DICIEMBRE 1899</v>
          </cell>
          <cell r="G558">
            <v>0</v>
          </cell>
        </row>
        <row r="559">
          <cell r="A559" t="str">
            <v>DICIEMBRE 1899</v>
          </cell>
          <cell r="G559">
            <v>0</v>
          </cell>
        </row>
        <row r="560">
          <cell r="A560" t="str">
            <v>DICIEMBRE 1899</v>
          </cell>
          <cell r="G560">
            <v>0</v>
          </cell>
        </row>
        <row r="561">
          <cell r="A561" t="str">
            <v>DICIEMBRE 1899</v>
          </cell>
          <cell r="G561">
            <v>0</v>
          </cell>
        </row>
        <row r="562">
          <cell r="A562" t="str">
            <v>DICIEMBRE 1899</v>
          </cell>
          <cell r="G562">
            <v>0</v>
          </cell>
        </row>
        <row r="563">
          <cell r="A563" t="str">
            <v>DICIEMBRE 1899</v>
          </cell>
          <cell r="G563">
            <v>0</v>
          </cell>
        </row>
        <row r="564">
          <cell r="A564" t="str">
            <v>DICIEMBRE 1899</v>
          </cell>
          <cell r="G564">
            <v>0</v>
          </cell>
        </row>
        <row r="565">
          <cell r="A565" t="str">
            <v>DICIEMBRE 1899</v>
          </cell>
          <cell r="G565">
            <v>0</v>
          </cell>
        </row>
        <row r="566">
          <cell r="A566" t="str">
            <v>DICIEMBRE 1899</v>
          </cell>
          <cell r="G566">
            <v>0</v>
          </cell>
        </row>
        <row r="567">
          <cell r="A567" t="str">
            <v>DICIEMBRE 1899</v>
          </cell>
          <cell r="G567">
            <v>0</v>
          </cell>
        </row>
        <row r="568">
          <cell r="A568" t="str">
            <v>DICIEMBRE 1899</v>
          </cell>
          <cell r="G568">
            <v>0</v>
          </cell>
        </row>
        <row r="569">
          <cell r="A569" t="str">
            <v>DICIEMBRE 1899</v>
          </cell>
          <cell r="G569">
            <v>0</v>
          </cell>
        </row>
        <row r="570">
          <cell r="A570" t="str">
            <v>DICIEMBRE 1899</v>
          </cell>
          <cell r="G570">
            <v>0</v>
          </cell>
        </row>
        <row r="571">
          <cell r="A571" t="str">
            <v>DICIEMBRE 1899</v>
          </cell>
          <cell r="G571">
            <v>0</v>
          </cell>
        </row>
        <row r="572">
          <cell r="A572" t="str">
            <v>DICIEMBRE 1899</v>
          </cell>
          <cell r="G572">
            <v>0</v>
          </cell>
        </row>
        <row r="573">
          <cell r="A573" t="str">
            <v>DICIEMBRE 1899</v>
          </cell>
          <cell r="G573">
            <v>0</v>
          </cell>
        </row>
        <row r="574">
          <cell r="A574" t="str">
            <v>DICIEMBRE 1899</v>
          </cell>
          <cell r="G574">
            <v>0</v>
          </cell>
        </row>
        <row r="575">
          <cell r="A575" t="str">
            <v>DICIEMBRE 1899</v>
          </cell>
          <cell r="G575">
            <v>0</v>
          </cell>
        </row>
        <row r="576">
          <cell r="A576" t="str">
            <v>DICIEMBRE 1899</v>
          </cell>
          <cell r="G576">
            <v>0</v>
          </cell>
        </row>
        <row r="577">
          <cell r="A577" t="str">
            <v>DICIEMBRE 1899</v>
          </cell>
          <cell r="G577">
            <v>0</v>
          </cell>
        </row>
        <row r="578">
          <cell r="A578" t="str">
            <v>DICIEMBRE 1899</v>
          </cell>
          <cell r="G578">
            <v>0</v>
          </cell>
        </row>
        <row r="579">
          <cell r="A579" t="str">
            <v>DICIEMBRE 1899</v>
          </cell>
          <cell r="G579">
            <v>0</v>
          </cell>
        </row>
        <row r="580">
          <cell r="A580" t="str">
            <v>DICIEMBRE 1899</v>
          </cell>
          <cell r="G580">
            <v>0</v>
          </cell>
        </row>
        <row r="581">
          <cell r="A581" t="str">
            <v>DICIEMBRE 1899</v>
          </cell>
          <cell r="G581">
            <v>0</v>
          </cell>
        </row>
        <row r="582">
          <cell r="A582" t="str">
            <v>DICIEMBRE 1899</v>
          </cell>
          <cell r="G582">
            <v>0</v>
          </cell>
        </row>
        <row r="583">
          <cell r="A583" t="str">
            <v>DICIEMBRE 1899</v>
          </cell>
          <cell r="G583">
            <v>0</v>
          </cell>
        </row>
        <row r="584">
          <cell r="A584" t="str">
            <v>DICIEMBRE 1899</v>
          </cell>
          <cell r="G584">
            <v>0</v>
          </cell>
        </row>
        <row r="585">
          <cell r="A585" t="str">
            <v>DICIEMBRE 1899</v>
          </cell>
          <cell r="G585">
            <v>0</v>
          </cell>
        </row>
        <row r="586">
          <cell r="A586" t="str">
            <v>DICIEMBRE 1899</v>
          </cell>
          <cell r="G586">
            <v>0</v>
          </cell>
        </row>
        <row r="587">
          <cell r="A587" t="str">
            <v>DICIEMBRE 1899</v>
          </cell>
          <cell r="G587">
            <v>0</v>
          </cell>
        </row>
        <row r="588">
          <cell r="A588" t="str">
            <v>DICIEMBRE 1899</v>
          </cell>
          <cell r="G588">
            <v>0</v>
          </cell>
        </row>
        <row r="589">
          <cell r="A589" t="str">
            <v>DICIEMBRE 1899</v>
          </cell>
          <cell r="G589">
            <v>0</v>
          </cell>
        </row>
        <row r="590">
          <cell r="A590" t="str">
            <v>DICIEMBRE 1899</v>
          </cell>
          <cell r="G590">
            <v>0</v>
          </cell>
        </row>
        <row r="591">
          <cell r="A591" t="str">
            <v>DICIEMBRE 1899</v>
          </cell>
          <cell r="G591">
            <v>0</v>
          </cell>
        </row>
        <row r="592">
          <cell r="A592" t="str">
            <v>DICIEMBRE 1899</v>
          </cell>
          <cell r="G592">
            <v>0</v>
          </cell>
        </row>
        <row r="593">
          <cell r="A593" t="str">
            <v>DICIEMBRE 1899</v>
          </cell>
          <cell r="G593">
            <v>0</v>
          </cell>
        </row>
        <row r="594">
          <cell r="A594" t="str">
            <v>DICIEMBRE 1899</v>
          </cell>
          <cell r="G594">
            <v>0</v>
          </cell>
        </row>
        <row r="595">
          <cell r="A595" t="str">
            <v>DICIEMBRE 1899</v>
          </cell>
          <cell r="G595">
            <v>0</v>
          </cell>
        </row>
        <row r="596">
          <cell r="A596" t="str">
            <v>DICIEMBRE 1899</v>
          </cell>
          <cell r="G596">
            <v>0</v>
          </cell>
        </row>
        <row r="597">
          <cell r="A597" t="str">
            <v>DICIEMBRE 1899</v>
          </cell>
          <cell r="G597">
            <v>0</v>
          </cell>
        </row>
        <row r="598">
          <cell r="A598" t="str">
            <v>DICIEMBRE 1899</v>
          </cell>
          <cell r="G598">
            <v>0</v>
          </cell>
        </row>
        <row r="599">
          <cell r="A599" t="str">
            <v>DICIEMBRE 1899</v>
          </cell>
          <cell r="G599">
            <v>0</v>
          </cell>
        </row>
        <row r="600">
          <cell r="A600" t="str">
            <v>DICIEMBRE 1899</v>
          </cell>
          <cell r="G600">
            <v>0</v>
          </cell>
        </row>
        <row r="601">
          <cell r="A601" t="str">
            <v>DICIEMBRE 1899</v>
          </cell>
          <cell r="G601">
            <v>0</v>
          </cell>
        </row>
        <row r="602">
          <cell r="A602" t="str">
            <v>DICIEMBRE 1899</v>
          </cell>
          <cell r="G602">
            <v>0</v>
          </cell>
        </row>
        <row r="603">
          <cell r="A603" t="str">
            <v>DICIEMBRE 1899</v>
          </cell>
          <cell r="G603">
            <v>0</v>
          </cell>
        </row>
        <row r="604">
          <cell r="A604" t="str">
            <v>DICIEMBRE 1899</v>
          </cell>
          <cell r="G604">
            <v>0</v>
          </cell>
        </row>
        <row r="605">
          <cell r="A605" t="str">
            <v>DICIEMBRE 1899</v>
          </cell>
          <cell r="G605">
            <v>0</v>
          </cell>
        </row>
        <row r="606">
          <cell r="A606" t="str">
            <v>DICIEMBRE 1899</v>
          </cell>
          <cell r="G606">
            <v>0</v>
          </cell>
        </row>
        <row r="607">
          <cell r="A607" t="str">
            <v>DICIEMBRE 1899</v>
          </cell>
          <cell r="G607">
            <v>0</v>
          </cell>
        </row>
        <row r="608">
          <cell r="A608" t="str">
            <v>DICIEMBRE 1899</v>
          </cell>
          <cell r="G608">
            <v>0</v>
          </cell>
        </row>
        <row r="609">
          <cell r="A609" t="str">
            <v>DICIEMBRE 1899</v>
          </cell>
          <cell r="G609">
            <v>0</v>
          </cell>
        </row>
        <row r="610">
          <cell r="A610" t="str">
            <v>DICIEMBRE 1899</v>
          </cell>
          <cell r="G610">
            <v>0</v>
          </cell>
        </row>
        <row r="611">
          <cell r="A611" t="str">
            <v>DICIEMBRE 1899</v>
          </cell>
          <cell r="G611">
            <v>0</v>
          </cell>
        </row>
        <row r="612">
          <cell r="A612" t="str">
            <v>DICIEMBRE 1899</v>
          </cell>
          <cell r="G612">
            <v>0</v>
          </cell>
        </row>
        <row r="613">
          <cell r="A613" t="str">
            <v>DICIEMBRE 1899</v>
          </cell>
          <cell r="G613">
            <v>0</v>
          </cell>
        </row>
        <row r="614">
          <cell r="A614" t="str">
            <v>DICIEMBRE 1899</v>
          </cell>
          <cell r="G614">
            <v>0</v>
          </cell>
        </row>
        <row r="615">
          <cell r="A615" t="str">
            <v>DICIEMBRE 1899</v>
          </cell>
          <cell r="G615">
            <v>0</v>
          </cell>
        </row>
        <row r="616">
          <cell r="A616" t="str">
            <v>DICIEMBRE 1899</v>
          </cell>
          <cell r="G616">
            <v>0</v>
          </cell>
        </row>
        <row r="617">
          <cell r="A617" t="str">
            <v>DICIEMBRE 1899</v>
          </cell>
          <cell r="G617">
            <v>0</v>
          </cell>
        </row>
        <row r="618">
          <cell r="A618" t="str">
            <v>DICIEMBRE 1899</v>
          </cell>
          <cell r="G618">
            <v>0</v>
          </cell>
        </row>
        <row r="619">
          <cell r="A619" t="str">
            <v>DICIEMBRE 1899</v>
          </cell>
          <cell r="G619">
            <v>0</v>
          </cell>
        </row>
        <row r="620">
          <cell r="A620" t="str">
            <v>DICIEMBRE 1899</v>
          </cell>
          <cell r="G620">
            <v>0</v>
          </cell>
        </row>
        <row r="621">
          <cell r="A621" t="str">
            <v>DICIEMBRE 1899</v>
          </cell>
          <cell r="G621">
            <v>0</v>
          </cell>
        </row>
        <row r="622">
          <cell r="A622" t="str">
            <v>DICIEMBRE 1899</v>
          </cell>
          <cell r="G622">
            <v>0</v>
          </cell>
        </row>
        <row r="623">
          <cell r="A623" t="str">
            <v>DICIEMBRE 1899</v>
          </cell>
          <cell r="G623">
            <v>0</v>
          </cell>
        </row>
        <row r="624">
          <cell r="A624" t="str">
            <v>DICIEMBRE 1899</v>
          </cell>
          <cell r="G624">
            <v>0</v>
          </cell>
        </row>
        <row r="625">
          <cell r="A625" t="str">
            <v>DICIEMBRE 1899</v>
          </cell>
          <cell r="G625">
            <v>0</v>
          </cell>
        </row>
        <row r="626">
          <cell r="A626" t="str">
            <v>DICIEMBRE 1899</v>
          </cell>
          <cell r="G626">
            <v>0</v>
          </cell>
        </row>
        <row r="627">
          <cell r="A627" t="str">
            <v>DICIEMBRE 1899</v>
          </cell>
          <cell r="G627">
            <v>0</v>
          </cell>
        </row>
        <row r="628">
          <cell r="A628" t="str">
            <v>DICIEMBRE 1899</v>
          </cell>
          <cell r="G628">
            <v>0</v>
          </cell>
        </row>
        <row r="629">
          <cell r="A629" t="str">
            <v>DICIEMBRE 1899</v>
          </cell>
          <cell r="G629">
            <v>0</v>
          </cell>
        </row>
        <row r="630">
          <cell r="A630" t="str">
            <v>DICIEMBRE 1899</v>
          </cell>
          <cell r="G630">
            <v>0</v>
          </cell>
        </row>
        <row r="631">
          <cell r="A631" t="str">
            <v>DICIEMBRE 1899</v>
          </cell>
          <cell r="G631">
            <v>0</v>
          </cell>
        </row>
        <row r="632">
          <cell r="A632" t="str">
            <v>DICIEMBRE 1899</v>
          </cell>
          <cell r="G632">
            <v>0</v>
          </cell>
        </row>
        <row r="633">
          <cell r="A633" t="str">
            <v>DICIEMBRE 1899</v>
          </cell>
          <cell r="G633">
            <v>0</v>
          </cell>
        </row>
        <row r="634">
          <cell r="A634" t="str">
            <v>DICIEMBRE 1899</v>
          </cell>
          <cell r="G634">
            <v>0</v>
          </cell>
        </row>
        <row r="635">
          <cell r="A635" t="str">
            <v>DICIEMBRE 1899</v>
          </cell>
          <cell r="G635">
            <v>0</v>
          </cell>
        </row>
        <row r="636">
          <cell r="A636" t="str">
            <v>DICIEMBRE 1899</v>
          </cell>
          <cell r="G636">
            <v>0</v>
          </cell>
        </row>
        <row r="637">
          <cell r="A637" t="str">
            <v>DICIEMBRE 1899</v>
          </cell>
          <cell r="G637">
            <v>0</v>
          </cell>
        </row>
        <row r="638">
          <cell r="A638" t="str">
            <v>DICIEMBRE 1899</v>
          </cell>
          <cell r="G638">
            <v>0</v>
          </cell>
        </row>
        <row r="639">
          <cell r="A639" t="str">
            <v>DICIEMBRE 1899</v>
          </cell>
          <cell r="G639">
            <v>0</v>
          </cell>
        </row>
        <row r="640">
          <cell r="A640" t="str">
            <v>DICIEMBRE 1899</v>
          </cell>
          <cell r="G640">
            <v>0</v>
          </cell>
        </row>
        <row r="641">
          <cell r="A641" t="str">
            <v>DICIEMBRE 1899</v>
          </cell>
          <cell r="G641">
            <v>0</v>
          </cell>
        </row>
        <row r="642">
          <cell r="A642" t="str">
            <v>DICIEMBRE 1899</v>
          </cell>
          <cell r="G642">
            <v>0</v>
          </cell>
        </row>
        <row r="643">
          <cell r="A643" t="str">
            <v>DICIEMBRE 1899</v>
          </cell>
          <cell r="G643">
            <v>0</v>
          </cell>
        </row>
        <row r="644">
          <cell r="A644" t="str">
            <v>DICIEMBRE 1899</v>
          </cell>
          <cell r="G644">
            <v>0</v>
          </cell>
        </row>
        <row r="645">
          <cell r="A645" t="str">
            <v>DICIEMBRE 1899</v>
          </cell>
          <cell r="G645">
            <v>0</v>
          </cell>
        </row>
        <row r="646">
          <cell r="A646" t="str">
            <v>DICIEMBRE 1899</v>
          </cell>
          <cell r="G646">
            <v>0</v>
          </cell>
        </row>
        <row r="647">
          <cell r="A647" t="str">
            <v>DICIEMBRE 1899</v>
          </cell>
          <cell r="G647">
            <v>0</v>
          </cell>
        </row>
        <row r="648">
          <cell r="A648" t="str">
            <v>DICIEMBRE 1899</v>
          </cell>
          <cell r="G648">
            <v>0</v>
          </cell>
        </row>
        <row r="649">
          <cell r="A649" t="str">
            <v>DICIEMBRE 1899</v>
          </cell>
          <cell r="G649">
            <v>0</v>
          </cell>
        </row>
        <row r="650">
          <cell r="A650" t="str">
            <v>DICIEMBRE 1899</v>
          </cell>
          <cell r="G650">
            <v>0</v>
          </cell>
        </row>
        <row r="651">
          <cell r="A651" t="str">
            <v>DICIEMBRE 1899</v>
          </cell>
          <cell r="G651">
            <v>0</v>
          </cell>
        </row>
        <row r="652">
          <cell r="A652" t="str">
            <v>DICIEMBRE 1899</v>
          </cell>
          <cell r="G652">
            <v>0</v>
          </cell>
        </row>
        <row r="653">
          <cell r="A653" t="str">
            <v>DICIEMBRE 1899</v>
          </cell>
          <cell r="G653">
            <v>0</v>
          </cell>
        </row>
        <row r="654">
          <cell r="A654" t="str">
            <v>DICIEMBRE 1899</v>
          </cell>
          <cell r="G654">
            <v>0</v>
          </cell>
        </row>
        <row r="655">
          <cell r="A655" t="str">
            <v>DICIEMBRE 1899</v>
          </cell>
          <cell r="G655">
            <v>0</v>
          </cell>
        </row>
        <row r="656">
          <cell r="A656" t="str">
            <v>DICIEMBRE 1899</v>
          </cell>
          <cell r="G656">
            <v>0</v>
          </cell>
        </row>
        <row r="657">
          <cell r="A657" t="str">
            <v>DICIEMBRE 1899</v>
          </cell>
          <cell r="G657">
            <v>0</v>
          </cell>
        </row>
        <row r="658">
          <cell r="A658" t="str">
            <v>DICIEMBRE 1899</v>
          </cell>
          <cell r="G658">
            <v>0</v>
          </cell>
        </row>
        <row r="659">
          <cell r="A659" t="str">
            <v>DICIEMBRE 1899</v>
          </cell>
          <cell r="G659">
            <v>0</v>
          </cell>
        </row>
        <row r="660">
          <cell r="A660" t="str">
            <v>DICIEMBRE 1899</v>
          </cell>
          <cell r="G660">
            <v>0</v>
          </cell>
        </row>
        <row r="661">
          <cell r="A661" t="str">
            <v>DICIEMBRE 1899</v>
          </cell>
          <cell r="G661">
            <v>0</v>
          </cell>
        </row>
        <row r="662">
          <cell r="A662" t="str">
            <v>DICIEMBRE 1899</v>
          </cell>
          <cell r="G662">
            <v>0</v>
          </cell>
        </row>
        <row r="663">
          <cell r="A663" t="str">
            <v>DICIEMBRE 1899</v>
          </cell>
          <cell r="G663">
            <v>0</v>
          </cell>
        </row>
        <row r="664">
          <cell r="A664" t="str">
            <v>DICIEMBRE 1899</v>
          </cell>
          <cell r="G664">
            <v>0</v>
          </cell>
        </row>
        <row r="665">
          <cell r="A665" t="str">
            <v>DICIEMBRE 1899</v>
          </cell>
          <cell r="G665">
            <v>0</v>
          </cell>
        </row>
        <row r="666">
          <cell r="A666" t="str">
            <v>DICIEMBRE 1899</v>
          </cell>
          <cell r="G666">
            <v>0</v>
          </cell>
        </row>
        <row r="667">
          <cell r="A667" t="str">
            <v>DICIEMBRE 1899</v>
          </cell>
          <cell r="G667">
            <v>0</v>
          </cell>
        </row>
        <row r="668">
          <cell r="A668" t="str">
            <v>DICIEMBRE 1899</v>
          </cell>
          <cell r="G668">
            <v>0</v>
          </cell>
        </row>
        <row r="669">
          <cell r="A669" t="str">
            <v>DICIEMBRE 1899</v>
          </cell>
          <cell r="G669">
            <v>0</v>
          </cell>
        </row>
        <row r="670">
          <cell r="A670" t="str">
            <v>DICIEMBRE 1899</v>
          </cell>
          <cell r="G670">
            <v>0</v>
          </cell>
        </row>
        <row r="671">
          <cell r="A671" t="str">
            <v>DICIEMBRE 1899</v>
          </cell>
          <cell r="G671">
            <v>0</v>
          </cell>
        </row>
        <row r="672">
          <cell r="A672" t="str">
            <v>DICIEMBRE 1899</v>
          </cell>
          <cell r="G672">
            <v>0</v>
          </cell>
        </row>
        <row r="673">
          <cell r="A673" t="str">
            <v>DICIEMBRE 1899</v>
          </cell>
          <cell r="G673">
            <v>0</v>
          </cell>
        </row>
        <row r="674">
          <cell r="A674" t="str">
            <v>DICIEMBRE 1899</v>
          </cell>
          <cell r="G674">
            <v>0</v>
          </cell>
        </row>
        <row r="675">
          <cell r="A675" t="str">
            <v>DICIEMBRE 1899</v>
          </cell>
          <cell r="G675">
            <v>0</v>
          </cell>
        </row>
        <row r="676">
          <cell r="A676" t="str">
            <v>DICIEMBRE 1899</v>
          </cell>
          <cell r="G676">
            <v>0</v>
          </cell>
        </row>
        <row r="677">
          <cell r="A677" t="str">
            <v>DICIEMBRE 1899</v>
          </cell>
          <cell r="G677">
            <v>0</v>
          </cell>
        </row>
        <row r="678">
          <cell r="A678" t="str">
            <v>DICIEMBRE 1899</v>
          </cell>
          <cell r="G678">
            <v>0</v>
          </cell>
        </row>
        <row r="679">
          <cell r="A679" t="str">
            <v>DICIEMBRE 1899</v>
          </cell>
          <cell r="G679">
            <v>0</v>
          </cell>
        </row>
        <row r="680">
          <cell r="A680" t="str">
            <v>DICIEMBRE 1899</v>
          </cell>
          <cell r="G680">
            <v>0</v>
          </cell>
        </row>
        <row r="681">
          <cell r="A681" t="str">
            <v>DICIEMBRE 1899</v>
          </cell>
          <cell r="G681">
            <v>0</v>
          </cell>
        </row>
        <row r="682">
          <cell r="A682" t="str">
            <v>DICIEMBRE 1899</v>
          </cell>
          <cell r="G682">
            <v>0</v>
          </cell>
        </row>
        <row r="683">
          <cell r="A683" t="str">
            <v>DICIEMBRE 1899</v>
          </cell>
          <cell r="G683">
            <v>0</v>
          </cell>
        </row>
        <row r="684">
          <cell r="A684" t="str">
            <v>DICIEMBRE 1899</v>
          </cell>
          <cell r="G684">
            <v>0</v>
          </cell>
        </row>
        <row r="685">
          <cell r="A685" t="str">
            <v>DICIEMBRE 1899</v>
          </cell>
          <cell r="G685">
            <v>0</v>
          </cell>
        </row>
        <row r="686">
          <cell r="A686" t="str">
            <v>DICIEMBRE 1899</v>
          </cell>
          <cell r="G686">
            <v>0</v>
          </cell>
        </row>
        <row r="687">
          <cell r="A687" t="str">
            <v>DICIEMBRE 1899</v>
          </cell>
          <cell r="G687">
            <v>0</v>
          </cell>
        </row>
        <row r="688">
          <cell r="A688" t="str">
            <v>DICIEMBRE 1899</v>
          </cell>
          <cell r="G688">
            <v>0</v>
          </cell>
        </row>
        <row r="689">
          <cell r="A689" t="str">
            <v>DICIEMBRE 1899</v>
          </cell>
          <cell r="G689">
            <v>0</v>
          </cell>
        </row>
        <row r="690">
          <cell r="A690" t="str">
            <v>DICIEMBRE 1899</v>
          </cell>
          <cell r="G690">
            <v>0</v>
          </cell>
        </row>
        <row r="691">
          <cell r="A691" t="str">
            <v>DICIEMBRE 1899</v>
          </cell>
          <cell r="G691">
            <v>0</v>
          </cell>
        </row>
        <row r="692">
          <cell r="A692" t="str">
            <v>DICIEMBRE 1899</v>
          </cell>
          <cell r="G692">
            <v>0</v>
          </cell>
        </row>
        <row r="693">
          <cell r="A693" t="str">
            <v>DICIEMBRE 1899</v>
          </cell>
          <cell r="G693">
            <v>0</v>
          </cell>
        </row>
        <row r="694">
          <cell r="A694" t="str">
            <v>DICIEMBRE 1899</v>
          </cell>
          <cell r="G694">
            <v>0</v>
          </cell>
        </row>
        <row r="695">
          <cell r="A695" t="str">
            <v>DICIEMBRE 1899</v>
          </cell>
          <cell r="G695">
            <v>0</v>
          </cell>
        </row>
        <row r="696">
          <cell r="A696" t="str">
            <v>DICIEMBRE 1899</v>
          </cell>
          <cell r="G696">
            <v>0</v>
          </cell>
        </row>
        <row r="697">
          <cell r="A697" t="str">
            <v>DICIEMBRE 1899</v>
          </cell>
          <cell r="G697">
            <v>0</v>
          </cell>
        </row>
        <row r="698">
          <cell r="A698" t="str">
            <v>DICIEMBRE 1899</v>
          </cell>
          <cell r="G698">
            <v>0</v>
          </cell>
        </row>
        <row r="699">
          <cell r="A699" t="str">
            <v>DICIEMBRE 1899</v>
          </cell>
          <cell r="G699">
            <v>0</v>
          </cell>
        </row>
        <row r="700">
          <cell r="A700" t="str">
            <v>DICIEMBRE 1899</v>
          </cell>
          <cell r="G700">
            <v>0</v>
          </cell>
        </row>
        <row r="701">
          <cell r="A701" t="str">
            <v>DICIEMBRE 1899</v>
          </cell>
          <cell r="G701">
            <v>0</v>
          </cell>
        </row>
        <row r="702">
          <cell r="A702" t="str">
            <v>DICIEMBRE 1899</v>
          </cell>
          <cell r="G702">
            <v>0</v>
          </cell>
        </row>
        <row r="703">
          <cell r="A703" t="str">
            <v>DICIEMBRE 1899</v>
          </cell>
          <cell r="G703">
            <v>0</v>
          </cell>
        </row>
        <row r="704">
          <cell r="A704" t="str">
            <v>DICIEMBRE 1899</v>
          </cell>
          <cell r="G704">
            <v>0</v>
          </cell>
        </row>
        <row r="705">
          <cell r="A705" t="str">
            <v>DICIEMBRE 1899</v>
          </cell>
          <cell r="G705">
            <v>0</v>
          </cell>
        </row>
        <row r="706">
          <cell r="A706" t="str">
            <v>DICIEMBRE 1899</v>
          </cell>
          <cell r="G706">
            <v>0</v>
          </cell>
        </row>
        <row r="707">
          <cell r="A707" t="str">
            <v>DICIEMBRE 1899</v>
          </cell>
          <cell r="G707">
            <v>0</v>
          </cell>
        </row>
        <row r="708">
          <cell r="A708" t="str">
            <v>DICIEMBRE 1899</v>
          </cell>
          <cell r="G708">
            <v>0</v>
          </cell>
        </row>
        <row r="709">
          <cell r="A709" t="str">
            <v>DICIEMBRE 1899</v>
          </cell>
          <cell r="G709">
            <v>0</v>
          </cell>
        </row>
        <row r="710">
          <cell r="A710" t="str">
            <v>DICIEMBRE 1899</v>
          </cell>
          <cell r="G710">
            <v>0</v>
          </cell>
        </row>
        <row r="711">
          <cell r="A711" t="str">
            <v>DICIEMBRE 1899</v>
          </cell>
          <cell r="G711">
            <v>0</v>
          </cell>
        </row>
        <row r="712">
          <cell r="A712" t="str">
            <v>DICIEMBRE 1899</v>
          </cell>
          <cell r="G712">
            <v>0</v>
          </cell>
        </row>
        <row r="713">
          <cell r="A713" t="str">
            <v>DICIEMBRE 1899</v>
          </cell>
          <cell r="G713">
            <v>0</v>
          </cell>
        </row>
        <row r="714">
          <cell r="A714" t="str">
            <v>DICIEMBRE 1899</v>
          </cell>
          <cell r="G714">
            <v>0</v>
          </cell>
        </row>
        <row r="715">
          <cell r="A715" t="str">
            <v>DICIEMBRE 1899</v>
          </cell>
          <cell r="G715">
            <v>0</v>
          </cell>
        </row>
        <row r="716">
          <cell r="A716" t="str">
            <v>DICIEMBRE 1899</v>
          </cell>
          <cell r="G716">
            <v>0</v>
          </cell>
        </row>
        <row r="717">
          <cell r="A717" t="str">
            <v>DICIEMBRE 1899</v>
          </cell>
          <cell r="G717">
            <v>0</v>
          </cell>
        </row>
        <row r="718">
          <cell r="A718" t="str">
            <v>DICIEMBRE 1899</v>
          </cell>
          <cell r="G718">
            <v>0</v>
          </cell>
        </row>
        <row r="719">
          <cell r="A719" t="str">
            <v>DICIEMBRE 1899</v>
          </cell>
          <cell r="G719">
            <v>0</v>
          </cell>
        </row>
        <row r="720">
          <cell r="A720" t="str">
            <v>DICIEMBRE 1899</v>
          </cell>
          <cell r="G720">
            <v>0</v>
          </cell>
        </row>
        <row r="721">
          <cell r="A721" t="str">
            <v>DICIEMBRE 1899</v>
          </cell>
          <cell r="G721">
            <v>0</v>
          </cell>
        </row>
        <row r="722">
          <cell r="A722" t="str">
            <v>DICIEMBRE 1899</v>
          </cell>
          <cell r="G722">
            <v>0</v>
          </cell>
        </row>
        <row r="723">
          <cell r="A723" t="str">
            <v>DICIEMBRE 1899</v>
          </cell>
          <cell r="G723">
            <v>0</v>
          </cell>
        </row>
        <row r="724">
          <cell r="A724" t="str">
            <v>DICIEMBRE 1899</v>
          </cell>
          <cell r="G724">
            <v>0</v>
          </cell>
        </row>
        <row r="725">
          <cell r="A725" t="str">
            <v>DICIEMBRE 1899</v>
          </cell>
          <cell r="G725">
            <v>0</v>
          </cell>
        </row>
        <row r="726">
          <cell r="A726" t="str">
            <v>DICIEMBRE 1899</v>
          </cell>
          <cell r="G726">
            <v>0</v>
          </cell>
        </row>
        <row r="727">
          <cell r="A727" t="str">
            <v>DICIEMBRE 1899</v>
          </cell>
          <cell r="G727">
            <v>0</v>
          </cell>
        </row>
        <row r="728">
          <cell r="A728" t="str">
            <v>DICIEMBRE 1899</v>
          </cell>
          <cell r="G728">
            <v>0</v>
          </cell>
        </row>
        <row r="729">
          <cell r="A729" t="str">
            <v>DICIEMBRE 1899</v>
          </cell>
          <cell r="G729">
            <v>0</v>
          </cell>
        </row>
        <row r="730">
          <cell r="A730" t="str">
            <v>DICIEMBRE 1899</v>
          </cell>
          <cell r="G730">
            <v>0</v>
          </cell>
        </row>
        <row r="731">
          <cell r="A731" t="str">
            <v>DICIEMBRE 1899</v>
          </cell>
          <cell r="G731">
            <v>0</v>
          </cell>
        </row>
        <row r="732">
          <cell r="A732" t="str">
            <v>DICIEMBRE 1899</v>
          </cell>
          <cell r="G732">
            <v>0</v>
          </cell>
        </row>
        <row r="733">
          <cell r="A733" t="str">
            <v>DICIEMBRE 1899</v>
          </cell>
          <cell r="G733">
            <v>0</v>
          </cell>
        </row>
        <row r="734">
          <cell r="A734" t="str">
            <v>DICIEMBRE 1899</v>
          </cell>
          <cell r="G734">
            <v>0</v>
          </cell>
        </row>
        <row r="735">
          <cell r="A735" t="str">
            <v>DICIEMBRE 1899</v>
          </cell>
          <cell r="G735">
            <v>0</v>
          </cell>
        </row>
        <row r="736">
          <cell r="A736" t="str">
            <v>DICIEMBRE 1899</v>
          </cell>
          <cell r="G736">
            <v>0</v>
          </cell>
        </row>
        <row r="737">
          <cell r="A737" t="str">
            <v>DICIEMBRE 1899</v>
          </cell>
          <cell r="G737">
            <v>0</v>
          </cell>
        </row>
        <row r="738">
          <cell r="A738" t="str">
            <v>DICIEMBRE 1899</v>
          </cell>
          <cell r="G738">
            <v>0</v>
          </cell>
        </row>
        <row r="739">
          <cell r="A739" t="str">
            <v>DICIEMBRE 1899</v>
          </cell>
          <cell r="G739">
            <v>0</v>
          </cell>
        </row>
        <row r="740">
          <cell r="A740" t="str">
            <v>DICIEMBRE 1899</v>
          </cell>
          <cell r="G740">
            <v>0</v>
          </cell>
        </row>
        <row r="741">
          <cell r="A741" t="str">
            <v>DICIEMBRE 1899</v>
          </cell>
          <cell r="G741">
            <v>0</v>
          </cell>
        </row>
        <row r="742">
          <cell r="A742" t="str">
            <v>DICIEMBRE 1899</v>
          </cell>
          <cell r="G742">
            <v>0</v>
          </cell>
        </row>
        <row r="743">
          <cell r="A743" t="str">
            <v>DICIEMBRE 1899</v>
          </cell>
          <cell r="G743">
            <v>0</v>
          </cell>
        </row>
        <row r="744">
          <cell r="A744" t="str">
            <v>DICIEMBRE 1899</v>
          </cell>
          <cell r="G744">
            <v>0</v>
          </cell>
        </row>
        <row r="745">
          <cell r="A745" t="str">
            <v>DICIEMBRE 1899</v>
          </cell>
          <cell r="G745">
            <v>0</v>
          </cell>
        </row>
        <row r="746">
          <cell r="A746" t="str">
            <v>DICIEMBRE 1899</v>
          </cell>
          <cell r="G746">
            <v>0</v>
          </cell>
        </row>
        <row r="747">
          <cell r="A747" t="str">
            <v>DICIEMBRE 1899</v>
          </cell>
          <cell r="G747">
            <v>0</v>
          </cell>
        </row>
        <row r="748">
          <cell r="A748" t="str">
            <v>DICIEMBRE 1899</v>
          </cell>
          <cell r="G748">
            <v>0</v>
          </cell>
        </row>
        <row r="749">
          <cell r="A749" t="str">
            <v>DICIEMBRE 1899</v>
          </cell>
          <cell r="G749">
            <v>0</v>
          </cell>
        </row>
        <row r="750">
          <cell r="A750" t="str">
            <v>DICIEMBRE 1899</v>
          </cell>
          <cell r="G750">
            <v>0</v>
          </cell>
        </row>
        <row r="751">
          <cell r="A751" t="str">
            <v>DICIEMBRE 1899</v>
          </cell>
          <cell r="G751">
            <v>0</v>
          </cell>
        </row>
        <row r="752">
          <cell r="A752" t="str">
            <v>DICIEMBRE 1899</v>
          </cell>
          <cell r="G752">
            <v>0</v>
          </cell>
        </row>
        <row r="753">
          <cell r="A753" t="str">
            <v>DICIEMBRE 1899</v>
          </cell>
          <cell r="G753">
            <v>0</v>
          </cell>
        </row>
        <row r="754">
          <cell r="A754" t="str">
            <v>DICIEMBRE 1899</v>
          </cell>
          <cell r="G754">
            <v>0</v>
          </cell>
        </row>
        <row r="755">
          <cell r="A755" t="str">
            <v>DICIEMBRE 1899</v>
          </cell>
          <cell r="G755">
            <v>0</v>
          </cell>
        </row>
        <row r="756">
          <cell r="A756" t="str">
            <v>DICIEMBRE 1899</v>
          </cell>
          <cell r="G756">
            <v>0</v>
          </cell>
        </row>
        <row r="757">
          <cell r="A757" t="str">
            <v>DICIEMBRE 1899</v>
          </cell>
          <cell r="G757">
            <v>0</v>
          </cell>
        </row>
        <row r="758">
          <cell r="A758" t="str">
            <v>DICIEMBRE 1899</v>
          </cell>
          <cell r="G758">
            <v>0</v>
          </cell>
        </row>
        <row r="759">
          <cell r="A759" t="str">
            <v>DICIEMBRE 1899</v>
          </cell>
          <cell r="G759">
            <v>0</v>
          </cell>
        </row>
        <row r="760">
          <cell r="A760" t="str">
            <v>DICIEMBRE 1899</v>
          </cell>
          <cell r="G760">
            <v>0</v>
          </cell>
        </row>
        <row r="761">
          <cell r="A761" t="str">
            <v>DICIEMBRE 1899</v>
          </cell>
          <cell r="G761">
            <v>0</v>
          </cell>
        </row>
        <row r="762">
          <cell r="A762" t="str">
            <v>DICIEMBRE 1899</v>
          </cell>
          <cell r="G762">
            <v>0</v>
          </cell>
        </row>
        <row r="763">
          <cell r="A763" t="str">
            <v>DICIEMBRE 1899</v>
          </cell>
          <cell r="G763">
            <v>0</v>
          </cell>
        </row>
        <row r="764">
          <cell r="A764" t="str">
            <v>DICIEMBRE 1899</v>
          </cell>
          <cell r="G764">
            <v>0</v>
          </cell>
        </row>
        <row r="765">
          <cell r="A765" t="str">
            <v>DICIEMBRE 1899</v>
          </cell>
          <cell r="G765">
            <v>0</v>
          </cell>
        </row>
        <row r="766">
          <cell r="A766" t="str">
            <v>DICIEMBRE 1899</v>
          </cell>
          <cell r="G766">
            <v>0</v>
          </cell>
        </row>
        <row r="767">
          <cell r="A767" t="str">
            <v>DICIEMBRE 1899</v>
          </cell>
          <cell r="G767">
            <v>0</v>
          </cell>
        </row>
        <row r="768">
          <cell r="A768" t="str">
            <v>DICIEMBRE 1899</v>
          </cell>
          <cell r="G768">
            <v>0</v>
          </cell>
        </row>
        <row r="769">
          <cell r="A769" t="str">
            <v>DICIEMBRE 1899</v>
          </cell>
          <cell r="G769">
            <v>0</v>
          </cell>
        </row>
        <row r="770">
          <cell r="A770" t="str">
            <v>DICIEMBRE 1899</v>
          </cell>
          <cell r="G770">
            <v>0</v>
          </cell>
        </row>
        <row r="771">
          <cell r="A771" t="str">
            <v>DICIEMBRE 1899</v>
          </cell>
          <cell r="G771">
            <v>0</v>
          </cell>
        </row>
        <row r="772">
          <cell r="A772" t="str">
            <v>DICIEMBRE 1899</v>
          </cell>
          <cell r="G772">
            <v>0</v>
          </cell>
        </row>
        <row r="773">
          <cell r="A773" t="str">
            <v>DICIEMBRE 1899</v>
          </cell>
          <cell r="G773">
            <v>0</v>
          </cell>
        </row>
        <row r="774">
          <cell r="A774" t="str">
            <v>DICIEMBRE 1899</v>
          </cell>
          <cell r="G774">
            <v>0</v>
          </cell>
        </row>
        <row r="775">
          <cell r="A775" t="str">
            <v>DICIEMBRE 1899</v>
          </cell>
          <cell r="G775">
            <v>0</v>
          </cell>
        </row>
        <row r="776">
          <cell r="A776" t="str">
            <v>DICIEMBRE 1899</v>
          </cell>
          <cell r="G776">
            <v>0</v>
          </cell>
        </row>
        <row r="777">
          <cell r="A777" t="str">
            <v>DICIEMBRE 1899</v>
          </cell>
          <cell r="G777">
            <v>0</v>
          </cell>
        </row>
        <row r="778">
          <cell r="A778" t="str">
            <v>DICIEMBRE 1899</v>
          </cell>
          <cell r="G778">
            <v>0</v>
          </cell>
        </row>
        <row r="779">
          <cell r="A779" t="str">
            <v>DICIEMBRE 1899</v>
          </cell>
          <cell r="G779">
            <v>0</v>
          </cell>
        </row>
        <row r="780">
          <cell r="A780" t="str">
            <v>DICIEMBRE 1899</v>
          </cell>
          <cell r="G780">
            <v>0</v>
          </cell>
        </row>
        <row r="781">
          <cell r="A781" t="str">
            <v>DICIEMBRE 1899</v>
          </cell>
          <cell r="G781">
            <v>0</v>
          </cell>
        </row>
        <row r="782">
          <cell r="A782" t="str">
            <v>DICIEMBRE 1899</v>
          </cell>
          <cell r="G782">
            <v>0</v>
          </cell>
        </row>
        <row r="783">
          <cell r="A783" t="str">
            <v>DICIEMBRE 1899</v>
          </cell>
          <cell r="G783">
            <v>0</v>
          </cell>
        </row>
        <row r="784">
          <cell r="A784" t="str">
            <v>DICIEMBRE 1899</v>
          </cell>
          <cell r="G784">
            <v>0</v>
          </cell>
        </row>
        <row r="785">
          <cell r="A785" t="str">
            <v>DICIEMBRE 1899</v>
          </cell>
          <cell r="G785">
            <v>0</v>
          </cell>
        </row>
        <row r="786">
          <cell r="A786" t="str">
            <v>DICIEMBRE 1899</v>
          </cell>
          <cell r="G786">
            <v>0</v>
          </cell>
        </row>
        <row r="787">
          <cell r="A787" t="str">
            <v>DICIEMBRE 1899</v>
          </cell>
          <cell r="G787">
            <v>0</v>
          </cell>
        </row>
        <row r="788">
          <cell r="A788" t="str">
            <v>DICIEMBRE 1899</v>
          </cell>
          <cell r="G788">
            <v>0</v>
          </cell>
        </row>
        <row r="789">
          <cell r="A789" t="str">
            <v>DICIEMBRE 1899</v>
          </cell>
          <cell r="G789">
            <v>0</v>
          </cell>
        </row>
        <row r="790">
          <cell r="A790" t="str">
            <v>DICIEMBRE 1899</v>
          </cell>
          <cell r="G790">
            <v>0</v>
          </cell>
        </row>
        <row r="791">
          <cell r="A791" t="str">
            <v>DICIEMBRE 1899</v>
          </cell>
          <cell r="G791">
            <v>0</v>
          </cell>
        </row>
        <row r="792">
          <cell r="A792" t="str">
            <v>DICIEMBRE 1899</v>
          </cell>
          <cell r="G792">
            <v>0</v>
          </cell>
        </row>
        <row r="793">
          <cell r="A793" t="str">
            <v>DICIEMBRE 1899</v>
          </cell>
          <cell r="G793">
            <v>0</v>
          </cell>
        </row>
        <row r="794">
          <cell r="A794" t="str">
            <v>DICIEMBRE 1899</v>
          </cell>
          <cell r="G794">
            <v>0</v>
          </cell>
        </row>
        <row r="795">
          <cell r="A795" t="str">
            <v>DICIEMBRE 1899</v>
          </cell>
          <cell r="G795">
            <v>0</v>
          </cell>
        </row>
        <row r="796">
          <cell r="A796" t="str">
            <v>DICIEMBRE 1899</v>
          </cell>
          <cell r="G796">
            <v>0</v>
          </cell>
        </row>
        <row r="797">
          <cell r="A797" t="str">
            <v>DICIEMBRE 1899</v>
          </cell>
          <cell r="G797">
            <v>0</v>
          </cell>
        </row>
        <row r="798">
          <cell r="A798" t="str">
            <v>DICIEMBRE 1899</v>
          </cell>
          <cell r="G798">
            <v>0</v>
          </cell>
        </row>
        <row r="799">
          <cell r="A799" t="str">
            <v>DICIEMBRE 1899</v>
          </cell>
          <cell r="G799">
            <v>0</v>
          </cell>
        </row>
        <row r="800">
          <cell r="A800" t="str">
            <v>DICIEMBRE 1899</v>
          </cell>
          <cell r="G800">
            <v>0</v>
          </cell>
        </row>
        <row r="801">
          <cell r="A801" t="str">
            <v>DICIEMBRE 1899</v>
          </cell>
          <cell r="G801">
            <v>0</v>
          </cell>
        </row>
        <row r="802">
          <cell r="A802" t="str">
            <v>DICIEMBRE 1899</v>
          </cell>
          <cell r="G802">
            <v>0</v>
          </cell>
        </row>
        <row r="803">
          <cell r="A803" t="str">
            <v>DICIEMBRE 1899</v>
          </cell>
          <cell r="G803">
            <v>0</v>
          </cell>
        </row>
        <row r="804">
          <cell r="A804" t="str">
            <v>DICIEMBRE 1899</v>
          </cell>
          <cell r="G804">
            <v>0</v>
          </cell>
        </row>
        <row r="805">
          <cell r="A805" t="str">
            <v>DICIEMBRE 1899</v>
          </cell>
          <cell r="G805">
            <v>0</v>
          </cell>
        </row>
        <row r="806">
          <cell r="A806" t="str">
            <v>DICIEMBRE 1899</v>
          </cell>
          <cell r="G806">
            <v>0</v>
          </cell>
        </row>
        <row r="807">
          <cell r="A807" t="str">
            <v>DICIEMBRE 1899</v>
          </cell>
          <cell r="G807">
            <v>0</v>
          </cell>
        </row>
        <row r="808">
          <cell r="A808" t="str">
            <v>DICIEMBRE 1899</v>
          </cell>
          <cell r="G808">
            <v>0</v>
          </cell>
        </row>
        <row r="809">
          <cell r="A809" t="str">
            <v>DICIEMBRE 1899</v>
          </cell>
          <cell r="G809">
            <v>0</v>
          </cell>
        </row>
        <row r="810">
          <cell r="A810" t="str">
            <v>DICIEMBRE 1899</v>
          </cell>
          <cell r="G810">
            <v>0</v>
          </cell>
        </row>
        <row r="811">
          <cell r="A811" t="str">
            <v>DICIEMBRE 1899</v>
          </cell>
          <cell r="G811">
            <v>0</v>
          </cell>
        </row>
        <row r="812">
          <cell r="A812" t="str">
            <v>DICIEMBRE 1899</v>
          </cell>
          <cell r="G812">
            <v>0</v>
          </cell>
        </row>
        <row r="813">
          <cell r="A813" t="str">
            <v>DICIEMBRE 1899</v>
          </cell>
          <cell r="G813">
            <v>0</v>
          </cell>
        </row>
        <row r="814">
          <cell r="A814" t="str">
            <v>DICIEMBRE 1899</v>
          </cell>
          <cell r="G814">
            <v>0</v>
          </cell>
        </row>
        <row r="815">
          <cell r="A815" t="str">
            <v>DICIEMBRE 1899</v>
          </cell>
          <cell r="G815">
            <v>0</v>
          </cell>
        </row>
        <row r="816">
          <cell r="A816" t="str">
            <v>DICIEMBRE 1899</v>
          </cell>
          <cell r="G816">
            <v>0</v>
          </cell>
        </row>
        <row r="817">
          <cell r="A817" t="str">
            <v>DICIEMBRE 1899</v>
          </cell>
          <cell r="G817">
            <v>0</v>
          </cell>
        </row>
        <row r="818">
          <cell r="A818" t="str">
            <v>DICIEMBRE 1899</v>
          </cell>
          <cell r="G818">
            <v>0</v>
          </cell>
        </row>
        <row r="819">
          <cell r="A819" t="str">
            <v>DICIEMBRE 1899</v>
          </cell>
          <cell r="G819">
            <v>0</v>
          </cell>
        </row>
        <row r="820">
          <cell r="A820" t="str">
            <v>DICIEMBRE 1899</v>
          </cell>
          <cell r="G820">
            <v>0</v>
          </cell>
        </row>
        <row r="821">
          <cell r="A821" t="str">
            <v>DICIEMBRE 1899</v>
          </cell>
          <cell r="G821">
            <v>0</v>
          </cell>
        </row>
        <row r="822">
          <cell r="A822" t="str">
            <v>DICIEMBRE 1899</v>
          </cell>
          <cell r="G822">
            <v>0</v>
          </cell>
        </row>
        <row r="823">
          <cell r="A823" t="str">
            <v>DICIEMBRE 1899</v>
          </cell>
          <cell r="G823">
            <v>0</v>
          </cell>
        </row>
        <row r="824">
          <cell r="A824" t="str">
            <v>DICIEMBRE 1899</v>
          </cell>
          <cell r="G824">
            <v>0</v>
          </cell>
        </row>
        <row r="825">
          <cell r="A825" t="str">
            <v>DICIEMBRE 1899</v>
          </cell>
          <cell r="G825">
            <v>0</v>
          </cell>
        </row>
        <row r="826">
          <cell r="A826" t="str">
            <v>DICIEMBRE 1899</v>
          </cell>
          <cell r="G826">
            <v>0</v>
          </cell>
        </row>
        <row r="827">
          <cell r="A827" t="str">
            <v>DICIEMBRE 1899</v>
          </cell>
          <cell r="G827">
            <v>0</v>
          </cell>
        </row>
        <row r="828">
          <cell r="A828" t="str">
            <v>DICIEMBRE 1899</v>
          </cell>
          <cell r="G828">
            <v>0</v>
          </cell>
        </row>
        <row r="829">
          <cell r="A829" t="str">
            <v>DICIEMBRE 1899</v>
          </cell>
          <cell r="G829">
            <v>0</v>
          </cell>
        </row>
        <row r="830">
          <cell r="A830" t="str">
            <v>DICIEMBRE 1899</v>
          </cell>
          <cell r="G830">
            <v>0</v>
          </cell>
        </row>
        <row r="831">
          <cell r="A831" t="str">
            <v>DICIEMBRE 1899</v>
          </cell>
          <cell r="G831">
            <v>0</v>
          </cell>
        </row>
        <row r="832">
          <cell r="A832" t="str">
            <v>DICIEMBRE 1899</v>
          </cell>
          <cell r="G832">
            <v>0</v>
          </cell>
        </row>
        <row r="833">
          <cell r="A833" t="str">
            <v>DICIEMBRE 1899</v>
          </cell>
          <cell r="G833">
            <v>0</v>
          </cell>
        </row>
        <row r="834">
          <cell r="A834" t="str">
            <v>DICIEMBRE 1899</v>
          </cell>
          <cell r="G834">
            <v>0</v>
          </cell>
        </row>
        <row r="835">
          <cell r="A835" t="str">
            <v>DICIEMBRE 1899</v>
          </cell>
          <cell r="G835">
            <v>0</v>
          </cell>
        </row>
        <row r="836">
          <cell r="A836" t="str">
            <v>DICIEMBRE 1899</v>
          </cell>
          <cell r="G836">
            <v>0</v>
          </cell>
        </row>
        <row r="837">
          <cell r="A837" t="str">
            <v>DICIEMBRE 1899</v>
          </cell>
          <cell r="G837">
            <v>0</v>
          </cell>
        </row>
        <row r="838">
          <cell r="A838" t="str">
            <v>DICIEMBRE 1899</v>
          </cell>
          <cell r="G838">
            <v>0</v>
          </cell>
        </row>
        <row r="839">
          <cell r="A839" t="str">
            <v>DICIEMBRE 1899</v>
          </cell>
          <cell r="G839">
            <v>0</v>
          </cell>
        </row>
        <row r="840">
          <cell r="A840" t="str">
            <v>DICIEMBRE 1899</v>
          </cell>
          <cell r="G840">
            <v>0</v>
          </cell>
        </row>
        <row r="841">
          <cell r="A841" t="str">
            <v>DICIEMBRE 1899</v>
          </cell>
          <cell r="G841">
            <v>0</v>
          </cell>
        </row>
        <row r="842">
          <cell r="A842" t="str">
            <v>DICIEMBRE 1899</v>
          </cell>
          <cell r="G842">
            <v>0</v>
          </cell>
        </row>
        <row r="843">
          <cell r="A843" t="str">
            <v>DICIEMBRE 1899</v>
          </cell>
          <cell r="G843">
            <v>0</v>
          </cell>
        </row>
        <row r="844">
          <cell r="A844" t="str">
            <v>DICIEMBRE 1899</v>
          </cell>
          <cell r="G844">
            <v>0</v>
          </cell>
        </row>
        <row r="845">
          <cell r="A845" t="str">
            <v>DICIEMBRE 1899</v>
          </cell>
          <cell r="G845">
            <v>0</v>
          </cell>
        </row>
        <row r="846">
          <cell r="A846" t="str">
            <v>DICIEMBRE 1899</v>
          </cell>
          <cell r="G846">
            <v>0</v>
          </cell>
        </row>
        <row r="847">
          <cell r="A847" t="str">
            <v>DICIEMBRE 1899</v>
          </cell>
          <cell r="G847">
            <v>0</v>
          </cell>
        </row>
        <row r="848">
          <cell r="A848" t="str">
            <v>DICIEMBRE 1899</v>
          </cell>
          <cell r="G848">
            <v>0</v>
          </cell>
        </row>
        <row r="849">
          <cell r="A849" t="str">
            <v>DICIEMBRE 1899</v>
          </cell>
          <cell r="G849">
            <v>0</v>
          </cell>
        </row>
        <row r="850">
          <cell r="A850" t="str">
            <v>DICIEMBRE 1899</v>
          </cell>
          <cell r="G850">
            <v>0</v>
          </cell>
        </row>
        <row r="851">
          <cell r="A851" t="str">
            <v>DICIEMBRE 1899</v>
          </cell>
          <cell r="G851">
            <v>0</v>
          </cell>
        </row>
        <row r="852">
          <cell r="A852" t="str">
            <v>DICIEMBRE 1899</v>
          </cell>
          <cell r="G852">
            <v>0</v>
          </cell>
        </row>
        <row r="853">
          <cell r="A853" t="str">
            <v>DICIEMBRE 1899</v>
          </cell>
          <cell r="G853">
            <v>0</v>
          </cell>
        </row>
        <row r="854">
          <cell r="A854" t="str">
            <v>DICIEMBRE 1899</v>
          </cell>
          <cell r="G854">
            <v>0</v>
          </cell>
        </row>
        <row r="855">
          <cell r="A855" t="str">
            <v>DICIEMBRE 1899</v>
          </cell>
          <cell r="G855">
            <v>0</v>
          </cell>
        </row>
        <row r="856">
          <cell r="A856" t="str">
            <v>DICIEMBRE 1899</v>
          </cell>
          <cell r="G856">
            <v>0</v>
          </cell>
        </row>
        <row r="857">
          <cell r="A857" t="str">
            <v>DICIEMBRE 1899</v>
          </cell>
          <cell r="G857">
            <v>0</v>
          </cell>
        </row>
        <row r="858">
          <cell r="A858" t="str">
            <v>DICIEMBRE 1899</v>
          </cell>
          <cell r="G858">
            <v>0</v>
          </cell>
        </row>
        <row r="859">
          <cell r="A859" t="str">
            <v>DICIEMBRE 1899</v>
          </cell>
          <cell r="G859">
            <v>0</v>
          </cell>
        </row>
        <row r="860">
          <cell r="A860" t="str">
            <v>DICIEMBRE 1899</v>
          </cell>
          <cell r="G860">
            <v>0</v>
          </cell>
        </row>
        <row r="861">
          <cell r="A861" t="str">
            <v>DICIEMBRE 1899</v>
          </cell>
          <cell r="G861">
            <v>0</v>
          </cell>
        </row>
        <row r="862">
          <cell r="A862" t="str">
            <v>DICIEMBRE 1899</v>
          </cell>
          <cell r="G862">
            <v>0</v>
          </cell>
        </row>
        <row r="863">
          <cell r="A863" t="str">
            <v>DICIEMBRE 1899</v>
          </cell>
          <cell r="G863">
            <v>0</v>
          </cell>
        </row>
        <row r="864">
          <cell r="A864" t="str">
            <v>DICIEMBRE 1899</v>
          </cell>
          <cell r="G864">
            <v>0</v>
          </cell>
        </row>
        <row r="865">
          <cell r="A865" t="str">
            <v>DICIEMBRE 1899</v>
          </cell>
          <cell r="G865">
            <v>0</v>
          </cell>
        </row>
        <row r="866">
          <cell r="A866" t="str">
            <v>DICIEMBRE 1899</v>
          </cell>
          <cell r="G866">
            <v>0</v>
          </cell>
        </row>
        <row r="867">
          <cell r="A867" t="str">
            <v>DICIEMBRE 1899</v>
          </cell>
          <cell r="G867">
            <v>0</v>
          </cell>
        </row>
        <row r="868">
          <cell r="A868" t="str">
            <v>DICIEMBRE 1899</v>
          </cell>
          <cell r="G868">
            <v>0</v>
          </cell>
        </row>
        <row r="869">
          <cell r="A869" t="str">
            <v>DICIEMBRE 1899</v>
          </cell>
          <cell r="G869">
            <v>0</v>
          </cell>
        </row>
        <row r="870">
          <cell r="A870" t="str">
            <v>DICIEMBRE 1899</v>
          </cell>
          <cell r="G870">
            <v>0</v>
          </cell>
        </row>
        <row r="871">
          <cell r="A871" t="str">
            <v>DICIEMBRE 1899</v>
          </cell>
          <cell r="G871">
            <v>0</v>
          </cell>
        </row>
        <row r="872">
          <cell r="A872" t="str">
            <v>DICIEMBRE 1899</v>
          </cell>
          <cell r="G872">
            <v>0</v>
          </cell>
        </row>
        <row r="873">
          <cell r="A873" t="str">
            <v>DICIEMBRE 1899</v>
          </cell>
          <cell r="G873">
            <v>0</v>
          </cell>
        </row>
        <row r="874">
          <cell r="A874" t="str">
            <v>DICIEMBRE 1899</v>
          </cell>
          <cell r="G874">
            <v>0</v>
          </cell>
        </row>
        <row r="875">
          <cell r="A875" t="str">
            <v>DICIEMBRE 1899</v>
          </cell>
          <cell r="G875">
            <v>0</v>
          </cell>
        </row>
        <row r="876">
          <cell r="A876" t="str">
            <v>DICIEMBRE 1899</v>
          </cell>
          <cell r="G876">
            <v>0</v>
          </cell>
        </row>
        <row r="877">
          <cell r="A877" t="str">
            <v>DICIEMBRE 1899</v>
          </cell>
          <cell r="G877">
            <v>0</v>
          </cell>
        </row>
        <row r="878">
          <cell r="A878" t="str">
            <v>DICIEMBRE 1899</v>
          </cell>
          <cell r="G878">
            <v>0</v>
          </cell>
        </row>
        <row r="879">
          <cell r="A879" t="str">
            <v>DICIEMBRE 1899</v>
          </cell>
          <cell r="G879">
            <v>0</v>
          </cell>
        </row>
        <row r="880">
          <cell r="A880" t="str">
            <v>DICIEMBRE 1899</v>
          </cell>
          <cell r="G880">
            <v>0</v>
          </cell>
        </row>
        <row r="881">
          <cell r="A881" t="str">
            <v>DICIEMBRE 1899</v>
          </cell>
          <cell r="G881">
            <v>0</v>
          </cell>
        </row>
        <row r="882">
          <cell r="A882" t="str">
            <v>DICIEMBRE 1899</v>
          </cell>
          <cell r="G882">
            <v>0</v>
          </cell>
        </row>
        <row r="883">
          <cell r="A883" t="str">
            <v>DICIEMBRE 1899</v>
          </cell>
          <cell r="G883">
            <v>0</v>
          </cell>
        </row>
        <row r="884">
          <cell r="A884" t="str">
            <v>DICIEMBRE 1899</v>
          </cell>
          <cell r="G884">
            <v>0</v>
          </cell>
        </row>
        <row r="885">
          <cell r="A885" t="str">
            <v>DICIEMBRE 1899</v>
          </cell>
          <cell r="G885">
            <v>0</v>
          </cell>
        </row>
        <row r="886">
          <cell r="A886" t="str">
            <v>DICIEMBRE 1899</v>
          </cell>
          <cell r="G886">
            <v>0</v>
          </cell>
        </row>
        <row r="887">
          <cell r="A887" t="str">
            <v>DICIEMBRE 1899</v>
          </cell>
          <cell r="G887">
            <v>0</v>
          </cell>
        </row>
        <row r="888">
          <cell r="A888" t="str">
            <v>DICIEMBRE 1899</v>
          </cell>
          <cell r="G888">
            <v>0</v>
          </cell>
        </row>
        <row r="889">
          <cell r="A889" t="str">
            <v>DICIEMBRE 1899</v>
          </cell>
          <cell r="G889">
            <v>0</v>
          </cell>
        </row>
        <row r="890">
          <cell r="A890" t="str">
            <v>DICIEMBRE 1899</v>
          </cell>
          <cell r="G890">
            <v>0</v>
          </cell>
        </row>
        <row r="891">
          <cell r="A891" t="str">
            <v>DICIEMBRE 1899</v>
          </cell>
          <cell r="G891">
            <v>0</v>
          </cell>
        </row>
        <row r="892">
          <cell r="A892" t="str">
            <v>DICIEMBRE 1899</v>
          </cell>
          <cell r="G892">
            <v>0</v>
          </cell>
        </row>
        <row r="893">
          <cell r="A893" t="str">
            <v>DICIEMBRE 1899</v>
          </cell>
          <cell r="G893">
            <v>0</v>
          </cell>
        </row>
        <row r="894">
          <cell r="A894" t="str">
            <v>DICIEMBRE 1899</v>
          </cell>
          <cell r="G894">
            <v>0</v>
          </cell>
        </row>
        <row r="895">
          <cell r="A895" t="str">
            <v>DICIEMBRE 1899</v>
          </cell>
          <cell r="G895">
            <v>0</v>
          </cell>
        </row>
        <row r="896">
          <cell r="A896" t="str">
            <v>DICIEMBRE 1899</v>
          </cell>
          <cell r="G896">
            <v>0</v>
          </cell>
        </row>
        <row r="897">
          <cell r="A897" t="str">
            <v>DICIEMBRE 1899</v>
          </cell>
          <cell r="G897">
            <v>0</v>
          </cell>
        </row>
        <row r="898">
          <cell r="A898" t="str">
            <v>DICIEMBRE 1899</v>
          </cell>
          <cell r="G898">
            <v>0</v>
          </cell>
        </row>
        <row r="899">
          <cell r="A899" t="str">
            <v>DICIEMBRE 1899</v>
          </cell>
          <cell r="G899">
            <v>0</v>
          </cell>
        </row>
        <row r="900">
          <cell r="A900" t="str">
            <v>DICIEMBRE 1899</v>
          </cell>
          <cell r="G900">
            <v>0</v>
          </cell>
        </row>
        <row r="901">
          <cell r="A901" t="str">
            <v>DICIEMBRE 1899</v>
          </cell>
          <cell r="G901">
            <v>0</v>
          </cell>
        </row>
        <row r="902">
          <cell r="A902" t="str">
            <v>DICIEMBRE 1899</v>
          </cell>
          <cell r="G902">
            <v>0</v>
          </cell>
        </row>
        <row r="903">
          <cell r="A903" t="str">
            <v>DICIEMBRE 1899</v>
          </cell>
          <cell r="G903">
            <v>0</v>
          </cell>
        </row>
        <row r="904">
          <cell r="A904" t="str">
            <v>DICIEMBRE 1899</v>
          </cell>
          <cell r="G904">
            <v>0</v>
          </cell>
        </row>
        <row r="905">
          <cell r="A905" t="str">
            <v>DICIEMBRE 1899</v>
          </cell>
          <cell r="G905">
            <v>0</v>
          </cell>
        </row>
        <row r="906">
          <cell r="A906" t="str">
            <v>DICIEMBRE 1899</v>
          </cell>
          <cell r="G906">
            <v>0</v>
          </cell>
        </row>
        <row r="907">
          <cell r="A907" t="str">
            <v>DICIEMBRE 1899</v>
          </cell>
          <cell r="G907">
            <v>0</v>
          </cell>
        </row>
        <row r="908">
          <cell r="A908" t="str">
            <v>DICIEMBRE 1899</v>
          </cell>
          <cell r="G908">
            <v>0</v>
          </cell>
        </row>
        <row r="909">
          <cell r="A909" t="str">
            <v>DICIEMBRE 1899</v>
          </cell>
          <cell r="G909">
            <v>0</v>
          </cell>
        </row>
        <row r="910">
          <cell r="A910" t="str">
            <v>DICIEMBRE 1899</v>
          </cell>
          <cell r="G910">
            <v>0</v>
          </cell>
        </row>
        <row r="911">
          <cell r="A911" t="str">
            <v>DICIEMBRE 1899</v>
          </cell>
          <cell r="G911">
            <v>0</v>
          </cell>
        </row>
        <row r="912">
          <cell r="A912" t="str">
            <v>DICIEMBRE 1899</v>
          </cell>
          <cell r="G912">
            <v>0</v>
          </cell>
        </row>
        <row r="913">
          <cell r="A913" t="str">
            <v>DICIEMBRE 1899</v>
          </cell>
          <cell r="G913">
            <v>0</v>
          </cell>
        </row>
        <row r="914">
          <cell r="A914" t="str">
            <v>DICIEMBRE 1899</v>
          </cell>
          <cell r="G914">
            <v>0</v>
          </cell>
        </row>
        <row r="915">
          <cell r="A915" t="str">
            <v>DICIEMBRE 1899</v>
          </cell>
          <cell r="G915">
            <v>0</v>
          </cell>
        </row>
        <row r="916">
          <cell r="A916" t="str">
            <v>DICIEMBRE 1899</v>
          </cell>
          <cell r="G916">
            <v>0</v>
          </cell>
        </row>
        <row r="917">
          <cell r="A917" t="str">
            <v>DICIEMBRE 1899</v>
          </cell>
          <cell r="G917">
            <v>0</v>
          </cell>
        </row>
        <row r="918">
          <cell r="A918" t="str">
            <v>DICIEMBRE 1899</v>
          </cell>
          <cell r="G918">
            <v>0</v>
          </cell>
        </row>
        <row r="919">
          <cell r="A919" t="str">
            <v>DICIEMBRE 1899</v>
          </cell>
          <cell r="G919">
            <v>0</v>
          </cell>
        </row>
        <row r="920">
          <cell r="A920" t="str">
            <v>DICIEMBRE 1899</v>
          </cell>
          <cell r="G920">
            <v>0</v>
          </cell>
        </row>
        <row r="921">
          <cell r="A921" t="str">
            <v>DICIEMBRE 1899</v>
          </cell>
          <cell r="G921">
            <v>0</v>
          </cell>
        </row>
        <row r="922">
          <cell r="A922" t="str">
            <v>DICIEMBRE 1899</v>
          </cell>
          <cell r="G922">
            <v>0</v>
          </cell>
        </row>
        <row r="923">
          <cell r="A923" t="str">
            <v>DICIEMBRE 1899</v>
          </cell>
          <cell r="G923">
            <v>0</v>
          </cell>
        </row>
        <row r="924">
          <cell r="A924" t="str">
            <v>DICIEMBRE 1899</v>
          </cell>
          <cell r="G924">
            <v>0</v>
          </cell>
        </row>
        <row r="925">
          <cell r="A925" t="str">
            <v>DICIEMBRE 1899</v>
          </cell>
          <cell r="G925">
            <v>0</v>
          </cell>
        </row>
        <row r="926">
          <cell r="A926" t="str">
            <v>DICIEMBRE 1899</v>
          </cell>
          <cell r="G926">
            <v>0</v>
          </cell>
        </row>
        <row r="927">
          <cell r="A927" t="str">
            <v>DICIEMBRE 1899</v>
          </cell>
          <cell r="G927">
            <v>0</v>
          </cell>
        </row>
        <row r="928">
          <cell r="A928" t="str">
            <v>DICIEMBRE 1899</v>
          </cell>
          <cell r="G928">
            <v>0</v>
          </cell>
        </row>
        <row r="929">
          <cell r="A929" t="str">
            <v>DICIEMBRE 1899</v>
          </cell>
          <cell r="G929">
            <v>0</v>
          </cell>
        </row>
        <row r="930">
          <cell r="A930" t="str">
            <v>DICIEMBRE 1899</v>
          </cell>
          <cell r="G930">
            <v>0</v>
          </cell>
        </row>
        <row r="931">
          <cell r="A931" t="str">
            <v>DICIEMBRE 1899</v>
          </cell>
          <cell r="G931">
            <v>0</v>
          </cell>
        </row>
        <row r="932">
          <cell r="A932" t="str">
            <v>DICIEMBRE 1899</v>
          </cell>
          <cell r="G932">
            <v>0</v>
          </cell>
        </row>
        <row r="933">
          <cell r="A933" t="str">
            <v>DICIEMBRE 1899</v>
          </cell>
          <cell r="G933">
            <v>0</v>
          </cell>
        </row>
        <row r="934">
          <cell r="A934" t="str">
            <v>DICIEMBRE 1899</v>
          </cell>
          <cell r="G934">
            <v>0</v>
          </cell>
        </row>
        <row r="935">
          <cell r="A935" t="str">
            <v>DICIEMBRE 1899</v>
          </cell>
          <cell r="G935">
            <v>0</v>
          </cell>
        </row>
        <row r="936">
          <cell r="A936" t="str">
            <v>DICIEMBRE 1899</v>
          </cell>
          <cell r="G936">
            <v>0</v>
          </cell>
        </row>
        <row r="937">
          <cell r="A937" t="str">
            <v>DICIEMBRE 1899</v>
          </cell>
          <cell r="G937">
            <v>0</v>
          </cell>
        </row>
        <row r="938">
          <cell r="A938" t="str">
            <v>DICIEMBRE 1899</v>
          </cell>
          <cell r="G938">
            <v>0</v>
          </cell>
        </row>
        <row r="939">
          <cell r="A939" t="str">
            <v>DICIEMBRE 1899</v>
          </cell>
          <cell r="G939">
            <v>0</v>
          </cell>
        </row>
        <row r="940">
          <cell r="A940" t="str">
            <v>DICIEMBRE 1899</v>
          </cell>
          <cell r="G940">
            <v>0</v>
          </cell>
        </row>
        <row r="941">
          <cell r="A941" t="str">
            <v>DICIEMBRE 1899</v>
          </cell>
          <cell r="G941">
            <v>0</v>
          </cell>
        </row>
        <row r="942">
          <cell r="A942" t="str">
            <v>DICIEMBRE 1899</v>
          </cell>
          <cell r="G942">
            <v>0</v>
          </cell>
        </row>
        <row r="943">
          <cell r="A943" t="str">
            <v>DICIEMBRE 1899</v>
          </cell>
          <cell r="G943">
            <v>0</v>
          </cell>
        </row>
        <row r="944">
          <cell r="A944" t="str">
            <v>DICIEMBRE 1899</v>
          </cell>
          <cell r="G944">
            <v>0</v>
          </cell>
        </row>
        <row r="945">
          <cell r="A945" t="str">
            <v>DICIEMBRE 1899</v>
          </cell>
          <cell r="G945">
            <v>0</v>
          </cell>
        </row>
        <row r="946">
          <cell r="A946" t="str">
            <v>DICIEMBRE 1899</v>
          </cell>
          <cell r="G946">
            <v>0</v>
          </cell>
        </row>
        <row r="947">
          <cell r="A947" t="str">
            <v>DICIEMBRE 1899</v>
          </cell>
          <cell r="G947">
            <v>0</v>
          </cell>
        </row>
        <row r="948">
          <cell r="A948" t="str">
            <v>DICIEMBRE 1899</v>
          </cell>
          <cell r="G948">
            <v>0</v>
          </cell>
        </row>
        <row r="949">
          <cell r="A949" t="str">
            <v>DICIEMBRE 1899</v>
          </cell>
          <cell r="G949">
            <v>0</v>
          </cell>
        </row>
        <row r="950">
          <cell r="A950" t="str">
            <v>DICIEMBRE 1899</v>
          </cell>
          <cell r="G950">
            <v>0</v>
          </cell>
        </row>
        <row r="951">
          <cell r="A951" t="str">
            <v>DICIEMBRE 1899</v>
          </cell>
          <cell r="G951">
            <v>0</v>
          </cell>
        </row>
        <row r="952">
          <cell r="A952" t="str">
            <v>DICIEMBRE 1899</v>
          </cell>
          <cell r="G952">
            <v>0</v>
          </cell>
        </row>
        <row r="953">
          <cell r="A953" t="str">
            <v>DICIEMBRE 1899</v>
          </cell>
          <cell r="G953">
            <v>0</v>
          </cell>
        </row>
        <row r="954">
          <cell r="A954" t="str">
            <v>DICIEMBRE 1899</v>
          </cell>
          <cell r="G954">
            <v>0</v>
          </cell>
        </row>
        <row r="955">
          <cell r="A955" t="str">
            <v>DICIEMBRE 1899</v>
          </cell>
          <cell r="G955">
            <v>0</v>
          </cell>
        </row>
        <row r="956">
          <cell r="A956" t="str">
            <v>DICIEMBRE 1899</v>
          </cell>
          <cell r="G956">
            <v>0</v>
          </cell>
        </row>
        <row r="957">
          <cell r="A957" t="str">
            <v>DICIEMBRE 1899</v>
          </cell>
          <cell r="G957">
            <v>0</v>
          </cell>
        </row>
        <row r="958">
          <cell r="A958" t="str">
            <v>DICIEMBRE 1899</v>
          </cell>
          <cell r="G958">
            <v>0</v>
          </cell>
        </row>
        <row r="959">
          <cell r="A959" t="str">
            <v>DICIEMBRE 1899</v>
          </cell>
          <cell r="G959">
            <v>0</v>
          </cell>
        </row>
        <row r="960">
          <cell r="A960" t="str">
            <v>DICIEMBRE 1899</v>
          </cell>
          <cell r="G960">
            <v>0</v>
          </cell>
        </row>
        <row r="961">
          <cell r="A961" t="str">
            <v>DICIEMBRE 1899</v>
          </cell>
          <cell r="G961">
            <v>0</v>
          </cell>
        </row>
        <row r="962">
          <cell r="A962" t="str">
            <v>DICIEMBRE 1899</v>
          </cell>
          <cell r="G962">
            <v>0</v>
          </cell>
        </row>
        <row r="963">
          <cell r="A963" t="str">
            <v>DICIEMBRE 1899</v>
          </cell>
          <cell r="G963">
            <v>0</v>
          </cell>
        </row>
        <row r="964">
          <cell r="A964" t="str">
            <v>DICIEMBRE 1899</v>
          </cell>
          <cell r="G964">
            <v>0</v>
          </cell>
        </row>
        <row r="965">
          <cell r="A965" t="str">
            <v>DICIEMBRE 1899</v>
          </cell>
          <cell r="G965">
            <v>0</v>
          </cell>
        </row>
        <row r="966">
          <cell r="A966" t="str">
            <v>DICIEMBRE 1899</v>
          </cell>
          <cell r="G966">
            <v>0</v>
          </cell>
        </row>
        <row r="967">
          <cell r="A967" t="str">
            <v>DICIEMBRE 1899</v>
          </cell>
          <cell r="G967">
            <v>0</v>
          </cell>
        </row>
        <row r="968">
          <cell r="A968" t="str">
            <v>DICIEMBRE 1899</v>
          </cell>
          <cell r="G968">
            <v>0</v>
          </cell>
        </row>
        <row r="969">
          <cell r="A969" t="str">
            <v>DICIEMBRE 1899</v>
          </cell>
          <cell r="G969">
            <v>0</v>
          </cell>
        </row>
        <row r="970">
          <cell r="A970" t="str">
            <v>DICIEMBRE 1899</v>
          </cell>
          <cell r="G970">
            <v>0</v>
          </cell>
        </row>
        <row r="971">
          <cell r="A971" t="str">
            <v>DICIEMBRE 1899</v>
          </cell>
          <cell r="G971">
            <v>0</v>
          </cell>
        </row>
        <row r="972">
          <cell r="A972" t="str">
            <v>DICIEMBRE 1899</v>
          </cell>
          <cell r="G972">
            <v>0</v>
          </cell>
        </row>
        <row r="973">
          <cell r="A973" t="str">
            <v>DICIEMBRE 1899</v>
          </cell>
          <cell r="G973">
            <v>0</v>
          </cell>
        </row>
        <row r="974">
          <cell r="A974" t="str">
            <v>DICIEMBRE 1899</v>
          </cell>
          <cell r="G974">
            <v>0</v>
          </cell>
        </row>
        <row r="975">
          <cell r="A975" t="str">
            <v>DICIEMBRE 1899</v>
          </cell>
          <cell r="G975">
            <v>0</v>
          </cell>
        </row>
        <row r="976">
          <cell r="A976" t="str">
            <v>DICIEMBRE 1899</v>
          </cell>
          <cell r="G976">
            <v>0</v>
          </cell>
        </row>
        <row r="977">
          <cell r="A977" t="str">
            <v>DICIEMBRE 1899</v>
          </cell>
          <cell r="G977">
            <v>0</v>
          </cell>
        </row>
        <row r="978">
          <cell r="A978" t="str">
            <v>DICIEMBRE 1899</v>
          </cell>
          <cell r="G978">
            <v>0</v>
          </cell>
        </row>
        <row r="979">
          <cell r="A979" t="str">
            <v>DICIEMBRE 1899</v>
          </cell>
          <cell r="G979">
            <v>0</v>
          </cell>
        </row>
        <row r="980">
          <cell r="A980" t="str">
            <v>DICIEMBRE 1899</v>
          </cell>
          <cell r="G980">
            <v>0</v>
          </cell>
        </row>
        <row r="981">
          <cell r="A981" t="str">
            <v>DICIEMBRE 1899</v>
          </cell>
          <cell r="G981">
            <v>0</v>
          </cell>
        </row>
        <row r="982">
          <cell r="A982" t="str">
            <v>DICIEMBRE 1899</v>
          </cell>
          <cell r="G982">
            <v>0</v>
          </cell>
        </row>
        <row r="983">
          <cell r="A983" t="str">
            <v>DICIEMBRE 1899</v>
          </cell>
          <cell r="G983">
            <v>0</v>
          </cell>
        </row>
        <row r="984">
          <cell r="A984" t="str">
            <v>DICIEMBRE 1899</v>
          </cell>
          <cell r="G984">
            <v>0</v>
          </cell>
        </row>
        <row r="985">
          <cell r="A985" t="str">
            <v>DICIEMBRE 1899</v>
          </cell>
          <cell r="G985">
            <v>0</v>
          </cell>
        </row>
        <row r="986">
          <cell r="A986" t="str">
            <v>DICIEMBRE 1899</v>
          </cell>
          <cell r="G986">
            <v>0</v>
          </cell>
        </row>
        <row r="987">
          <cell r="A987" t="str">
            <v>DICIEMBRE 1899</v>
          </cell>
          <cell r="G987">
            <v>0</v>
          </cell>
        </row>
        <row r="988">
          <cell r="A988" t="str">
            <v>DICIEMBRE 1899</v>
          </cell>
          <cell r="G988">
            <v>0</v>
          </cell>
        </row>
        <row r="989">
          <cell r="A989" t="str">
            <v>DICIEMBRE 1899</v>
          </cell>
          <cell r="G989">
            <v>0</v>
          </cell>
        </row>
        <row r="990">
          <cell r="A990" t="str">
            <v>DICIEMBRE 1899</v>
          </cell>
          <cell r="G990">
            <v>0</v>
          </cell>
        </row>
        <row r="991">
          <cell r="A991" t="str">
            <v>DICIEMBRE 1899</v>
          </cell>
          <cell r="G991">
            <v>0</v>
          </cell>
        </row>
        <row r="992">
          <cell r="A992" t="str">
            <v>DICIEMBRE 1899</v>
          </cell>
          <cell r="G992">
            <v>0</v>
          </cell>
        </row>
        <row r="993">
          <cell r="A993" t="str">
            <v>DICIEMBRE 1899</v>
          </cell>
          <cell r="G993">
            <v>0</v>
          </cell>
        </row>
        <row r="994">
          <cell r="A994" t="str">
            <v>DICIEMBRE 1899</v>
          </cell>
          <cell r="G994">
            <v>0</v>
          </cell>
        </row>
        <row r="995">
          <cell r="A995" t="str">
            <v>DICIEMBRE 1899</v>
          </cell>
          <cell r="G995">
            <v>0</v>
          </cell>
        </row>
        <row r="996">
          <cell r="A996" t="str">
            <v>DICIEMBRE 1899</v>
          </cell>
          <cell r="G996">
            <v>0</v>
          </cell>
        </row>
        <row r="997">
          <cell r="A997" t="str">
            <v>DICIEMBRE 1899</v>
          </cell>
          <cell r="G997">
            <v>0</v>
          </cell>
        </row>
        <row r="998">
          <cell r="A998" t="str">
            <v>DICIEMBRE 1899</v>
          </cell>
          <cell r="G998">
            <v>0</v>
          </cell>
        </row>
        <row r="999">
          <cell r="A999" t="str">
            <v>DICIEMBRE 1899</v>
          </cell>
          <cell r="G999">
            <v>0</v>
          </cell>
        </row>
        <row r="1000">
          <cell r="A1000" t="str">
            <v>DICIEMBRE 1899</v>
          </cell>
          <cell r="G1000">
            <v>0</v>
          </cell>
        </row>
      </sheetData>
      <sheetData sheetId="3">
        <row r="1">
          <cell r="A1" t="str">
            <v>MES GASTO</v>
          </cell>
          <cell r="D1" t="str">
            <v>CATEGORÍA GASTO</v>
          </cell>
          <cell r="F1" t="str">
            <v>SUBTOTAL</v>
          </cell>
        </row>
        <row r="2">
          <cell r="A2" t="str">
            <v>ENERO 2026</v>
          </cell>
          <cell r="D2" t="str">
            <v>Gastos Operativos</v>
          </cell>
          <cell r="F2">
            <v>6112.93</v>
          </cell>
        </row>
        <row r="3">
          <cell r="A3" t="str">
            <v>ENERO 2026</v>
          </cell>
          <cell r="D3" t="str">
            <v>Gastos Operativos</v>
          </cell>
          <cell r="F3">
            <v>22312.01</v>
          </cell>
        </row>
        <row r="4">
          <cell r="A4" t="str">
            <v>ENERO 2026</v>
          </cell>
          <cell r="D4" t="str">
            <v>Gastos Operativos</v>
          </cell>
          <cell r="F4">
            <v>7845</v>
          </cell>
        </row>
        <row r="5">
          <cell r="A5" t="str">
            <v>ENERO 2026</v>
          </cell>
          <cell r="D5" t="str">
            <v>Gastos Operativos</v>
          </cell>
          <cell r="F5">
            <v>1856</v>
          </cell>
        </row>
        <row r="6">
          <cell r="A6" t="str">
            <v>ENERO 2026</v>
          </cell>
          <cell r="D6" t="str">
            <v>Gastos Operativos</v>
          </cell>
          <cell r="F6">
            <v>6000</v>
          </cell>
        </row>
        <row r="7">
          <cell r="A7" t="str">
            <v>ENERO 2026</v>
          </cell>
          <cell r="D7" t="str">
            <v>Gastos Operativos</v>
          </cell>
          <cell r="F7">
            <v>24638.83</v>
          </cell>
        </row>
        <row r="8">
          <cell r="A8" t="str">
            <v>ENERO 2026</v>
          </cell>
          <cell r="D8" t="str">
            <v>Gastos Operativos</v>
          </cell>
          <cell r="F8">
            <v>2487.5</v>
          </cell>
        </row>
        <row r="9">
          <cell r="A9" t="str">
            <v>ENERO 2026</v>
          </cell>
          <cell r="D9" t="str">
            <v>Gastos Operativos</v>
          </cell>
          <cell r="F9">
            <v>989</v>
          </cell>
        </row>
        <row r="10">
          <cell r="A10" t="str">
            <v>ENERO 2026</v>
          </cell>
        </row>
        <row r="11">
          <cell r="A11" t="str">
            <v>ENERO 2026</v>
          </cell>
          <cell r="D11" t="str">
            <v>Gastos Operativos</v>
          </cell>
          <cell r="F11">
            <v>163516.59</v>
          </cell>
        </row>
        <row r="12">
          <cell r="A12" t="str">
            <v>ENERO 2026</v>
          </cell>
          <cell r="D12" t="str">
            <v>Gastos Operativos</v>
          </cell>
        </row>
        <row r="13">
          <cell r="A13" t="str">
            <v>ENERO 2026</v>
          </cell>
          <cell r="D13" t="str">
            <v>Gastos Operativos</v>
          </cell>
          <cell r="F13">
            <v>2517.6799999999998</v>
          </cell>
        </row>
        <row r="14">
          <cell r="A14" t="str">
            <v>ENERO 2026</v>
          </cell>
          <cell r="D14" t="str">
            <v>Gastos Operativos</v>
          </cell>
          <cell r="F14">
            <v>31203.32</v>
          </cell>
        </row>
        <row r="15">
          <cell r="A15" t="str">
            <v>ENERO 2026</v>
          </cell>
          <cell r="D15" t="str">
            <v>Gastos Operativos</v>
          </cell>
          <cell r="F15">
            <v>18556.52</v>
          </cell>
        </row>
        <row r="16">
          <cell r="A16" t="str">
            <v>ENERO 2026</v>
          </cell>
        </row>
        <row r="17">
          <cell r="A17" t="str">
            <v>ENERO 2026</v>
          </cell>
        </row>
        <row r="18">
          <cell r="A18" t="str">
            <v>ENERO 2026</v>
          </cell>
        </row>
        <row r="19">
          <cell r="A19" t="str">
            <v>ENERO 2026</v>
          </cell>
        </row>
        <row r="20">
          <cell r="A20" t="str">
            <v>ENERO 2026</v>
          </cell>
        </row>
        <row r="21">
          <cell r="A21" t="str">
            <v>ENERO 2026</v>
          </cell>
        </row>
        <row r="22">
          <cell r="A22" t="str">
            <v>ENERO 2026</v>
          </cell>
          <cell r="D22" t="str">
            <v>Gastos Operativos</v>
          </cell>
          <cell r="F22">
            <v>7780</v>
          </cell>
        </row>
        <row r="23">
          <cell r="A23" t="str">
            <v>ENERO 2026</v>
          </cell>
          <cell r="D23" t="str">
            <v>Gastos Operativos</v>
          </cell>
          <cell r="F23">
            <v>605</v>
          </cell>
        </row>
        <row r="24">
          <cell r="A24" t="str">
            <v>ENERO 2026</v>
          </cell>
          <cell r="D24" t="str">
            <v>Gastos Operativos</v>
          </cell>
          <cell r="F24">
            <v>2552</v>
          </cell>
        </row>
        <row r="25">
          <cell r="A25" t="str">
            <v>ENERO 2026</v>
          </cell>
          <cell r="D25" t="str">
            <v>Gastos Operativos</v>
          </cell>
          <cell r="F25">
            <v>6694</v>
          </cell>
        </row>
        <row r="26">
          <cell r="A26" t="str">
            <v>ENERO 2026</v>
          </cell>
          <cell r="D26" t="str">
            <v>Gastos Operativos</v>
          </cell>
          <cell r="F26">
            <v>27278</v>
          </cell>
        </row>
        <row r="27">
          <cell r="A27" t="str">
            <v>ENERO 2026</v>
          </cell>
          <cell r="D27" t="str">
            <v>Gastos Comerciales</v>
          </cell>
          <cell r="F27">
            <v>11972.8</v>
          </cell>
        </row>
        <row r="28">
          <cell r="A28" t="str">
            <v>ENERO 2026</v>
          </cell>
          <cell r="D28" t="str">
            <v>Gastos Operativos</v>
          </cell>
          <cell r="F28">
            <v>10658.2</v>
          </cell>
        </row>
        <row r="29">
          <cell r="A29" t="str">
            <v>ENERO 2026</v>
          </cell>
          <cell r="D29" t="str">
            <v>Gastos Operativos</v>
          </cell>
          <cell r="F29">
            <v>3813</v>
          </cell>
        </row>
        <row r="30">
          <cell r="A30" t="str">
            <v>ENERO 2026</v>
          </cell>
        </row>
        <row r="31">
          <cell r="A31" t="str">
            <v>ENERO 2026</v>
          </cell>
          <cell r="D31" t="str">
            <v>Viáticos</v>
          </cell>
          <cell r="F31">
            <v>39829.72</v>
          </cell>
        </row>
        <row r="32">
          <cell r="A32" t="str">
            <v>ENERO 2026</v>
          </cell>
          <cell r="D32" t="str">
            <v>Viáticos</v>
          </cell>
          <cell r="F32">
            <v>8750</v>
          </cell>
        </row>
        <row r="33">
          <cell r="A33" t="str">
            <v>ENERO 2026</v>
          </cell>
          <cell r="D33" t="str">
            <v>Gastos Operativos</v>
          </cell>
          <cell r="F33">
            <v>3500</v>
          </cell>
        </row>
        <row r="34">
          <cell r="A34" t="str">
            <v>ENERO 2026</v>
          </cell>
          <cell r="D34" t="str">
            <v>Viáticos</v>
          </cell>
          <cell r="F34">
            <v>5125</v>
          </cell>
        </row>
        <row r="35">
          <cell r="A35" t="str">
            <v>ENERO 2026</v>
          </cell>
          <cell r="D35" t="str">
            <v>Viáticos</v>
          </cell>
          <cell r="F35">
            <v>413.75</v>
          </cell>
        </row>
        <row r="36">
          <cell r="A36" t="str">
            <v>ENERO 2026</v>
          </cell>
        </row>
        <row r="37">
          <cell r="A37" t="str">
            <v>ENERO 2026</v>
          </cell>
          <cell r="D37" t="str">
            <v>Gastos Administrativos</v>
          </cell>
          <cell r="F37">
            <v>8788.51</v>
          </cell>
        </row>
        <row r="38">
          <cell r="A38" t="str">
            <v>ENERO 2026</v>
          </cell>
          <cell r="D38" t="str">
            <v>Gastos Administrativos</v>
          </cell>
          <cell r="F38">
            <v>0</v>
          </cell>
        </row>
        <row r="39">
          <cell r="A39" t="str">
            <v>ENERO 2026</v>
          </cell>
          <cell r="D39" t="str">
            <v>Gastos Operativos</v>
          </cell>
        </row>
        <row r="40">
          <cell r="A40" t="str">
            <v>ENERO 2026</v>
          </cell>
          <cell r="D40" t="str">
            <v>Gastos Comerciales</v>
          </cell>
          <cell r="F40">
            <v>10185</v>
          </cell>
        </row>
        <row r="41">
          <cell r="A41" t="str">
            <v>ENERO 2026</v>
          </cell>
          <cell r="D41" t="str">
            <v>Gastos Comerciales</v>
          </cell>
          <cell r="F41">
            <v>20448.900000000001</v>
          </cell>
        </row>
        <row r="42">
          <cell r="A42" t="str">
            <v>ENERO 2026</v>
          </cell>
        </row>
        <row r="43">
          <cell r="A43" t="str">
            <v>ENERO 2026</v>
          </cell>
          <cell r="D43" t="str">
            <v>Gastos Financieros</v>
          </cell>
          <cell r="F43">
            <v>62986.58</v>
          </cell>
        </row>
        <row r="44">
          <cell r="A44" t="str">
            <v>ENERO 2026</v>
          </cell>
          <cell r="D44" t="str">
            <v>Gastos Financieros</v>
          </cell>
          <cell r="F44">
            <v>159103.29</v>
          </cell>
        </row>
        <row r="45">
          <cell r="A45" t="str">
            <v>ENERO 2026</v>
          </cell>
          <cell r="F45">
            <v>0</v>
          </cell>
        </row>
        <row r="46">
          <cell r="A46" t="str">
            <v>ENERO 2026</v>
          </cell>
          <cell r="F46">
            <v>0</v>
          </cell>
        </row>
        <row r="47">
          <cell r="A47" t="str">
            <v>ENERO 2026</v>
          </cell>
          <cell r="D47" t="str">
            <v>Gastos Operativos</v>
          </cell>
          <cell r="F47">
            <v>900</v>
          </cell>
        </row>
        <row r="48">
          <cell r="A48" t="str">
            <v>ENERO 2026</v>
          </cell>
          <cell r="D48" t="str">
            <v>Gastos Operativos</v>
          </cell>
          <cell r="F48">
            <v>42979.33</v>
          </cell>
        </row>
        <row r="49">
          <cell r="A49" t="str">
            <v>ENERO 2026</v>
          </cell>
          <cell r="D49" t="str">
            <v>Gastos Operativos</v>
          </cell>
          <cell r="F49">
            <v>9944.8799999999992</v>
          </cell>
        </row>
        <row r="50">
          <cell r="A50" t="str">
            <v>ENERO 2026</v>
          </cell>
          <cell r="D50" t="str">
            <v>Gastos Operativos</v>
          </cell>
          <cell r="F50">
            <v>1050</v>
          </cell>
        </row>
        <row r="51">
          <cell r="A51" t="str">
            <v>ENERO 2026</v>
          </cell>
          <cell r="D51" t="str">
            <v>Gastos Operativos</v>
          </cell>
          <cell r="F51">
            <v>11759.48</v>
          </cell>
        </row>
        <row r="52">
          <cell r="A52" t="str">
            <v>ENERO 2026</v>
          </cell>
          <cell r="D52" t="str">
            <v>Gastos Operativos</v>
          </cell>
          <cell r="F52">
            <v>2531.0300000000002</v>
          </cell>
        </row>
        <row r="53">
          <cell r="A53" t="str">
            <v>ENERO 2026</v>
          </cell>
          <cell r="D53" t="str">
            <v>Gastos Operativos</v>
          </cell>
          <cell r="F53">
            <v>5168</v>
          </cell>
        </row>
        <row r="54">
          <cell r="A54" t="str">
            <v>ENERO 2026</v>
          </cell>
          <cell r="D54" t="str">
            <v>Gastos Administrativos</v>
          </cell>
          <cell r="F54">
            <v>3620.27</v>
          </cell>
        </row>
        <row r="55">
          <cell r="A55" t="str">
            <v>ENERO 2026</v>
          </cell>
          <cell r="D55" t="str">
            <v>Gastos Administrativos</v>
          </cell>
          <cell r="F55">
            <v>0</v>
          </cell>
        </row>
        <row r="56">
          <cell r="A56" t="str">
            <v>ENERO 2026</v>
          </cell>
        </row>
        <row r="57">
          <cell r="A57" t="str">
            <v>ENERO 2026</v>
          </cell>
          <cell r="D57" t="str">
            <v>Gastos Operativos</v>
          </cell>
          <cell r="F57">
            <v>39500</v>
          </cell>
        </row>
        <row r="58">
          <cell r="A58" t="str">
            <v>ENERO 2026</v>
          </cell>
          <cell r="D58" t="str">
            <v>Gastos Operativos</v>
          </cell>
          <cell r="F58">
            <v>7500</v>
          </cell>
        </row>
        <row r="59">
          <cell r="A59" t="str">
            <v>ENERO 2026</v>
          </cell>
          <cell r="D59" t="str">
            <v>Gastos Operativos</v>
          </cell>
          <cell r="F59">
            <v>3311.82</v>
          </cell>
        </row>
        <row r="60">
          <cell r="A60" t="str">
            <v>ENERO 2026</v>
          </cell>
          <cell r="D60" t="str">
            <v>Gastos Operativos</v>
          </cell>
          <cell r="F60">
            <v>3934</v>
          </cell>
        </row>
        <row r="61">
          <cell r="A61" t="str">
            <v>ENERO 2026</v>
          </cell>
        </row>
        <row r="62">
          <cell r="A62" t="str">
            <v>ENERO 2026</v>
          </cell>
        </row>
        <row r="63">
          <cell r="A63" t="str">
            <v>ENERO 2026</v>
          </cell>
        </row>
        <row r="64">
          <cell r="A64" t="str">
            <v>ENERO 2026</v>
          </cell>
        </row>
        <row r="65">
          <cell r="A65" t="str">
            <v>ENERO 2026</v>
          </cell>
        </row>
        <row r="66">
          <cell r="A66" t="str">
            <v>ENERO 2026</v>
          </cell>
        </row>
        <row r="67">
          <cell r="A67" t="str">
            <v>ENERO 2026</v>
          </cell>
          <cell r="D67" t="str">
            <v>Gastos Operativos</v>
          </cell>
          <cell r="F67">
            <v>11496.61</v>
          </cell>
        </row>
        <row r="68">
          <cell r="A68" t="str">
            <v>ENERO 2026</v>
          </cell>
          <cell r="D68" t="str">
            <v>Gastos Operativos</v>
          </cell>
          <cell r="F68">
            <v>17451.72</v>
          </cell>
        </row>
        <row r="69">
          <cell r="A69" t="str">
            <v>ENERO 2026</v>
          </cell>
          <cell r="D69" t="str">
            <v>Gastos Operativos</v>
          </cell>
          <cell r="F69">
            <v>319.04000000000002</v>
          </cell>
        </row>
        <row r="70">
          <cell r="A70" t="str">
            <v>ENERO 2026</v>
          </cell>
          <cell r="D70" t="str">
            <v>Gastos Operativos</v>
          </cell>
          <cell r="F70">
            <v>1100</v>
          </cell>
        </row>
        <row r="71">
          <cell r="A71" t="str">
            <v>ENERO 2026</v>
          </cell>
          <cell r="D71" t="str">
            <v>Gastos Operativos</v>
          </cell>
          <cell r="F71">
            <v>1700</v>
          </cell>
        </row>
        <row r="72">
          <cell r="A72" t="str">
            <v>ENERO 2026</v>
          </cell>
          <cell r="D72" t="str">
            <v>Gastos Operativos</v>
          </cell>
          <cell r="F72">
            <v>1335.34</v>
          </cell>
        </row>
        <row r="73">
          <cell r="A73" t="str">
            <v>ENERO 2026</v>
          </cell>
          <cell r="D73" t="str">
            <v>Gastos Operativos</v>
          </cell>
          <cell r="F73">
            <v>8444.58</v>
          </cell>
        </row>
        <row r="74">
          <cell r="A74" t="str">
            <v>ENERO 2026</v>
          </cell>
        </row>
        <row r="75">
          <cell r="A75" t="str">
            <v>ENERO 2026</v>
          </cell>
          <cell r="D75" t="str">
            <v>Viáticos</v>
          </cell>
          <cell r="F75">
            <v>18225</v>
          </cell>
        </row>
        <row r="76">
          <cell r="A76" t="str">
            <v>ENERO 2026</v>
          </cell>
          <cell r="D76" t="str">
            <v>Viáticos</v>
          </cell>
          <cell r="F76">
            <v>0</v>
          </cell>
        </row>
        <row r="77">
          <cell r="A77" t="str">
            <v>ENERO 2026</v>
          </cell>
          <cell r="D77" t="str">
            <v>Viáticos</v>
          </cell>
          <cell r="F77">
            <v>3713.75</v>
          </cell>
        </row>
        <row r="78">
          <cell r="A78" t="str">
            <v>ENERO 2026</v>
          </cell>
          <cell r="D78" t="str">
            <v>Gastos Operativos</v>
          </cell>
          <cell r="F78">
            <v>3500</v>
          </cell>
        </row>
        <row r="79">
          <cell r="A79" t="str">
            <v>ENERO 2026</v>
          </cell>
          <cell r="D79" t="str">
            <v>Viáticos</v>
          </cell>
          <cell r="F79">
            <v>6125</v>
          </cell>
        </row>
        <row r="80">
          <cell r="A80" t="str">
            <v>ENERO 2026</v>
          </cell>
          <cell r="D80" t="str">
            <v>Viáticos</v>
          </cell>
          <cell r="F80">
            <v>0</v>
          </cell>
        </row>
        <row r="81">
          <cell r="A81" t="str">
            <v>ENERO 2026</v>
          </cell>
        </row>
        <row r="82">
          <cell r="A82" t="str">
            <v>ENERO 2026</v>
          </cell>
          <cell r="D82" t="str">
            <v>Gastos Administrativos</v>
          </cell>
          <cell r="F82">
            <v>63086.157899999998</v>
          </cell>
        </row>
        <row r="83">
          <cell r="A83" t="str">
            <v>ENERO 2026</v>
          </cell>
          <cell r="D83" t="str">
            <v>Gastos Administrativos</v>
          </cell>
          <cell r="F83">
            <v>7576.3</v>
          </cell>
        </row>
        <row r="84">
          <cell r="A84" t="str">
            <v>ENERO 2026</v>
          </cell>
          <cell r="D84" t="str">
            <v>Gastos Operativos</v>
          </cell>
          <cell r="F84">
            <v>1979</v>
          </cell>
        </row>
        <row r="85">
          <cell r="A85" t="str">
            <v>ENERO 2026</v>
          </cell>
          <cell r="D85" t="str">
            <v>Gastos Administrativos</v>
          </cell>
          <cell r="F85">
            <v>13832</v>
          </cell>
        </row>
        <row r="86">
          <cell r="A86" t="str">
            <v>ENERO 2026</v>
          </cell>
          <cell r="D86" t="str">
            <v>Gastos Comerciales</v>
          </cell>
          <cell r="F86">
            <v>0</v>
          </cell>
        </row>
        <row r="87">
          <cell r="A87" t="str">
            <v>ENERO 2026</v>
          </cell>
          <cell r="D87" t="str">
            <v>Gastos Comerciales</v>
          </cell>
          <cell r="F87">
            <v>16958.009999999998</v>
          </cell>
        </row>
        <row r="88">
          <cell r="A88" t="str">
            <v>ENERO 2026</v>
          </cell>
        </row>
        <row r="89">
          <cell r="A89" t="str">
            <v>ENERO 2026</v>
          </cell>
          <cell r="D89" t="str">
            <v>Gastos Financieros</v>
          </cell>
          <cell r="F89">
            <v>63479.29</v>
          </cell>
        </row>
        <row r="90">
          <cell r="A90" t="str">
            <v>ENERO 2026</v>
          </cell>
          <cell r="D90" t="str">
            <v>Gastos Operativos</v>
          </cell>
          <cell r="F90">
            <v>49854</v>
          </cell>
        </row>
        <row r="91">
          <cell r="A91" t="str">
            <v>ENERO 2026</v>
          </cell>
          <cell r="F91">
            <v>0</v>
          </cell>
        </row>
        <row r="92">
          <cell r="A92" t="str">
            <v>ENERO 2026</v>
          </cell>
          <cell r="D92" t="str">
            <v>Gastos Operativos</v>
          </cell>
          <cell r="F92">
            <v>900</v>
          </cell>
        </row>
        <row r="93">
          <cell r="A93" t="str">
            <v>ENERO 2026</v>
          </cell>
          <cell r="D93" t="str">
            <v>Gastos Operativos</v>
          </cell>
          <cell r="F93">
            <v>36904.32</v>
          </cell>
        </row>
        <row r="94">
          <cell r="A94" t="str">
            <v>ENERO 2026</v>
          </cell>
          <cell r="D94" t="str">
            <v>Gastos Operativos</v>
          </cell>
          <cell r="F94">
            <v>6308.12</v>
          </cell>
        </row>
        <row r="95">
          <cell r="A95" t="str">
            <v>ENERO 2026</v>
          </cell>
          <cell r="D95" t="str">
            <v>Gastos Operativos</v>
          </cell>
          <cell r="F95">
            <v>350</v>
          </cell>
        </row>
        <row r="96">
          <cell r="A96" t="str">
            <v>ENERO 2026</v>
          </cell>
          <cell r="D96" t="str">
            <v>Gastos Operativos</v>
          </cell>
          <cell r="F96">
            <v>0</v>
          </cell>
        </row>
        <row r="97">
          <cell r="A97" t="str">
            <v>ENERO 2026</v>
          </cell>
          <cell r="D97" t="str">
            <v>Gastos Operativos</v>
          </cell>
          <cell r="F97">
            <v>3341.22</v>
          </cell>
        </row>
        <row r="98">
          <cell r="A98" t="str">
            <v>ENERO 2026</v>
          </cell>
          <cell r="D98" t="str">
            <v>Gastos Operativos</v>
          </cell>
          <cell r="F98">
            <v>1221</v>
          </cell>
        </row>
        <row r="99">
          <cell r="A99" t="str">
            <v>ENERO 2026</v>
          </cell>
          <cell r="D99" t="str">
            <v>Gastos Operativos</v>
          </cell>
          <cell r="F99">
            <v>2568.02</v>
          </cell>
        </row>
        <row r="100">
          <cell r="A100" t="str">
            <v>ENERO 2026</v>
          </cell>
          <cell r="D100" t="str">
            <v>Gastos Operativos</v>
          </cell>
          <cell r="F100">
            <v>0</v>
          </cell>
        </row>
        <row r="101">
          <cell r="A101" t="str">
            <v>ENERO 2026</v>
          </cell>
        </row>
        <row r="102">
          <cell r="A102" t="str">
            <v>ENERO 2026</v>
          </cell>
          <cell r="D102" t="str">
            <v>Gastos Operativos</v>
          </cell>
          <cell r="F102">
            <v>35511.39</v>
          </cell>
        </row>
        <row r="103">
          <cell r="A103" t="str">
            <v>ENERO 2026</v>
          </cell>
          <cell r="D103" t="str">
            <v>Gastos Operativos</v>
          </cell>
          <cell r="F103">
            <v>7500</v>
          </cell>
        </row>
        <row r="104">
          <cell r="A104" t="str">
            <v>ENERO 2026</v>
          </cell>
          <cell r="D104" t="str">
            <v>Gastos Operativos</v>
          </cell>
          <cell r="F104">
            <v>5326.71</v>
          </cell>
        </row>
        <row r="105">
          <cell r="A105" t="str">
            <v>ENERO 2026</v>
          </cell>
          <cell r="D105" t="str">
            <v>Gastos Operativos</v>
          </cell>
          <cell r="F105">
            <v>4340</v>
          </cell>
        </row>
        <row r="106">
          <cell r="A106" t="str">
            <v>ENERO 2026</v>
          </cell>
        </row>
        <row r="107">
          <cell r="A107" t="str">
            <v>ENERO 2026</v>
          </cell>
        </row>
        <row r="108">
          <cell r="A108" t="str">
            <v>ENERO 2026</v>
          </cell>
        </row>
        <row r="109">
          <cell r="A109" t="str">
            <v>ENERO 2026</v>
          </cell>
        </row>
        <row r="110">
          <cell r="A110" t="str">
            <v>ENERO 2026</v>
          </cell>
        </row>
        <row r="111">
          <cell r="A111" t="str">
            <v>ENERO 2026</v>
          </cell>
        </row>
        <row r="112">
          <cell r="A112" t="str">
            <v>ENERO 2026</v>
          </cell>
          <cell r="D112" t="str">
            <v>Gastos Operativos</v>
          </cell>
          <cell r="F112">
            <v>2002.91</v>
          </cell>
        </row>
        <row r="113">
          <cell r="A113" t="str">
            <v>ENERO 2026</v>
          </cell>
          <cell r="D113" t="str">
            <v>Gastos Operativos</v>
          </cell>
          <cell r="F113">
            <v>0</v>
          </cell>
        </row>
        <row r="114">
          <cell r="A114" t="str">
            <v>ENERO 2026</v>
          </cell>
          <cell r="D114" t="str">
            <v>Gastos Operativos</v>
          </cell>
          <cell r="F114">
            <v>6583.9</v>
          </cell>
        </row>
        <row r="115">
          <cell r="A115" t="str">
            <v>ENERO 2026</v>
          </cell>
          <cell r="D115" t="str">
            <v>Gastos Operativos</v>
          </cell>
          <cell r="F115">
            <v>1100</v>
          </cell>
        </row>
        <row r="116">
          <cell r="A116" t="str">
            <v>ENERO 2026</v>
          </cell>
          <cell r="D116" t="str">
            <v>Gastos Operativos</v>
          </cell>
          <cell r="F116">
            <v>1700</v>
          </cell>
        </row>
        <row r="117">
          <cell r="A117" t="str">
            <v>ENERO 2026</v>
          </cell>
          <cell r="D117" t="str">
            <v>Gastos Operativos</v>
          </cell>
          <cell r="F117">
            <v>549</v>
          </cell>
        </row>
        <row r="118">
          <cell r="A118" t="str">
            <v>ENERO 2026</v>
          </cell>
          <cell r="D118" t="str">
            <v>Gastos Operativos</v>
          </cell>
          <cell r="F118">
            <v>5563.25</v>
          </cell>
        </row>
        <row r="119">
          <cell r="A119" t="str">
            <v>ENERO 2026</v>
          </cell>
        </row>
        <row r="120">
          <cell r="A120" t="str">
            <v>ENERO 2026</v>
          </cell>
          <cell r="D120" t="str">
            <v>Viáticos</v>
          </cell>
          <cell r="F120">
            <v>18990</v>
          </cell>
        </row>
        <row r="121">
          <cell r="A121" t="str">
            <v>ENERO 2026</v>
          </cell>
          <cell r="D121" t="str">
            <v>Viáticos</v>
          </cell>
          <cell r="F121">
            <v>0</v>
          </cell>
        </row>
        <row r="122">
          <cell r="A122" t="str">
            <v>ENERO 2026</v>
          </cell>
          <cell r="D122" t="str">
            <v>Viáticos</v>
          </cell>
          <cell r="F122">
            <v>413.75</v>
          </cell>
        </row>
        <row r="123">
          <cell r="A123" t="str">
            <v>ENERO 2026</v>
          </cell>
          <cell r="D123" t="str">
            <v>Gastos Operativos</v>
          </cell>
          <cell r="F123">
            <v>3500</v>
          </cell>
        </row>
        <row r="124">
          <cell r="A124" t="str">
            <v>ENERO 2026</v>
          </cell>
          <cell r="D124" t="str">
            <v>Viáticos</v>
          </cell>
          <cell r="F124">
            <v>6125</v>
          </cell>
        </row>
        <row r="125">
          <cell r="A125" t="str">
            <v>ENERO 2026</v>
          </cell>
          <cell r="D125" t="str">
            <v>Viáticos</v>
          </cell>
          <cell r="F125">
            <v>0</v>
          </cell>
        </row>
        <row r="126">
          <cell r="A126" t="str">
            <v>ENERO 2026</v>
          </cell>
        </row>
        <row r="127">
          <cell r="A127" t="str">
            <v>ENERO 2026</v>
          </cell>
          <cell r="D127" t="str">
            <v>Gastos Administrativos</v>
          </cell>
          <cell r="F127">
            <v>29500</v>
          </cell>
        </row>
        <row r="128">
          <cell r="A128" t="str">
            <v>ENERO 2026</v>
          </cell>
          <cell r="D128" t="str">
            <v>Gastos Administrativos</v>
          </cell>
          <cell r="F128">
            <v>7576.3</v>
          </cell>
        </row>
        <row r="129">
          <cell r="A129" t="str">
            <v>ENERO 2026</v>
          </cell>
          <cell r="D129" t="str">
            <v>Gastos Operativos</v>
          </cell>
          <cell r="F129">
            <v>1979</v>
          </cell>
        </row>
        <row r="130">
          <cell r="A130" t="str">
            <v>ENERO 2026</v>
          </cell>
          <cell r="D130" t="str">
            <v>Gastos Administrativos</v>
          </cell>
          <cell r="F130">
            <v>2150</v>
          </cell>
        </row>
        <row r="131">
          <cell r="A131" t="str">
            <v>ENERO 2026</v>
          </cell>
          <cell r="D131" t="str">
            <v>Gastos Comerciales</v>
          </cell>
          <cell r="F131">
            <v>3562.36</v>
          </cell>
        </row>
        <row r="132">
          <cell r="A132" t="str">
            <v>ENERO 2026</v>
          </cell>
          <cell r="D132" t="str">
            <v>Gastos Comerciales</v>
          </cell>
          <cell r="F132">
            <v>7546.5050000000001</v>
          </cell>
        </row>
        <row r="133">
          <cell r="A133" t="str">
            <v>ENERO 2026</v>
          </cell>
          <cell r="D133" t="str">
            <v>Gastos Financieros</v>
          </cell>
          <cell r="F133">
            <v>101430.38</v>
          </cell>
        </row>
        <row r="134">
          <cell r="A134" t="str">
            <v>ENERO 2026</v>
          </cell>
          <cell r="D134" t="str">
            <v>Gastos Financieros</v>
          </cell>
          <cell r="F134">
            <v>36643.040000000001</v>
          </cell>
        </row>
        <row r="135">
          <cell r="A135" t="str">
            <v>ENERO 2026</v>
          </cell>
          <cell r="D135" t="str">
            <v>Gastos Operativos</v>
          </cell>
          <cell r="F135">
            <v>64787.34</v>
          </cell>
        </row>
        <row r="136">
          <cell r="A136" t="str">
            <v>ENERO 2026</v>
          </cell>
          <cell r="F136">
            <v>0</v>
          </cell>
        </row>
        <row r="137">
          <cell r="A137" t="str">
            <v>ENERO 2026</v>
          </cell>
          <cell r="F137">
            <v>0</v>
          </cell>
        </row>
        <row r="138">
          <cell r="A138" t="str">
            <v>ENERO 2026</v>
          </cell>
          <cell r="D138" t="str">
            <v>Gastos Operativos</v>
          </cell>
          <cell r="F138">
            <v>1693.52</v>
          </cell>
        </row>
        <row r="139">
          <cell r="A139" t="str">
            <v>ENERO 2026</v>
          </cell>
          <cell r="D139" t="str">
            <v>Gastos Operativos</v>
          </cell>
          <cell r="F139">
            <v>7834</v>
          </cell>
        </row>
        <row r="140">
          <cell r="A140" t="str">
            <v>ENERO 2026</v>
          </cell>
          <cell r="D140" t="str">
            <v>Gastos Operativos</v>
          </cell>
          <cell r="F140">
            <v>3168.3544000000002</v>
          </cell>
        </row>
        <row r="141">
          <cell r="A141" t="str">
            <v>ENERO 2026</v>
          </cell>
          <cell r="D141" t="str">
            <v>Gastos Operativos</v>
          </cell>
          <cell r="F141">
            <v>0</v>
          </cell>
        </row>
        <row r="142">
          <cell r="A142" t="str">
            <v>ENERO 2026</v>
          </cell>
          <cell r="D142" t="str">
            <v>Gastos Operativos</v>
          </cell>
          <cell r="F142">
            <v>50</v>
          </cell>
        </row>
        <row r="143">
          <cell r="A143" t="str">
            <v>ENERO 2026</v>
          </cell>
          <cell r="D143" t="str">
            <v>Gastos Operativos</v>
          </cell>
          <cell r="F143">
            <v>0</v>
          </cell>
        </row>
        <row r="144">
          <cell r="A144" t="str">
            <v>ENERO 2026</v>
          </cell>
          <cell r="D144" t="str">
            <v>Gastos Operativos</v>
          </cell>
          <cell r="F144">
            <v>0</v>
          </cell>
        </row>
        <row r="145">
          <cell r="A145" t="str">
            <v>ENERO 2026</v>
          </cell>
          <cell r="D145" t="str">
            <v>Gastos Operativos</v>
          </cell>
          <cell r="F145">
            <v>0</v>
          </cell>
        </row>
        <row r="146">
          <cell r="A146" t="str">
            <v>ENERO 2026</v>
          </cell>
        </row>
        <row r="147">
          <cell r="A147" t="str">
            <v>ENERO 2026</v>
          </cell>
          <cell r="D147" t="str">
            <v>Gastos Operativos</v>
          </cell>
          <cell r="F147">
            <v>0</v>
          </cell>
        </row>
        <row r="148">
          <cell r="A148" t="str">
            <v>ENERO 2026</v>
          </cell>
          <cell r="D148" t="str">
            <v>Gastos Operativos</v>
          </cell>
          <cell r="F148">
            <v>0</v>
          </cell>
        </row>
        <row r="149">
          <cell r="A149" t="str">
            <v>ENERO 2026</v>
          </cell>
        </row>
        <row r="150">
          <cell r="A150" t="str">
            <v>ENERO 2026</v>
          </cell>
        </row>
        <row r="151">
          <cell r="A151" t="str">
            <v>ENERO 2026</v>
          </cell>
        </row>
        <row r="152">
          <cell r="A152" t="str">
            <v>ENERO 2026</v>
          </cell>
        </row>
        <row r="153">
          <cell r="A153" t="str">
            <v>ENERO 2026</v>
          </cell>
        </row>
        <row r="154">
          <cell r="A154" t="str">
            <v>ENERO 2026</v>
          </cell>
        </row>
        <row r="155">
          <cell r="A155" t="str">
            <v>ENERO 2026</v>
          </cell>
          <cell r="D155" t="str">
            <v>Viáticos</v>
          </cell>
          <cell r="F155">
            <v>24075</v>
          </cell>
        </row>
        <row r="156">
          <cell r="A156" t="str">
            <v>ENERO 2026</v>
          </cell>
          <cell r="D156" t="str">
            <v>Viáticos</v>
          </cell>
          <cell r="F156">
            <v>14000</v>
          </cell>
        </row>
        <row r="157">
          <cell r="A157" t="str">
            <v>ENERO 2026</v>
          </cell>
          <cell r="D157" t="str">
            <v>Gastos Operativos</v>
          </cell>
          <cell r="F157">
            <v>0</v>
          </cell>
        </row>
        <row r="158">
          <cell r="A158" t="str">
            <v>ENERO 2026</v>
          </cell>
          <cell r="D158" t="str">
            <v>Viáticos</v>
          </cell>
          <cell r="F158">
            <v>4000</v>
          </cell>
        </row>
        <row r="159">
          <cell r="A159" t="str">
            <v>ENERO 2026</v>
          </cell>
          <cell r="D159" t="str">
            <v>Viáticos</v>
          </cell>
          <cell r="F159">
            <v>0</v>
          </cell>
        </row>
        <row r="160">
          <cell r="A160" t="str">
            <v>ENERO 2026</v>
          </cell>
        </row>
        <row r="161">
          <cell r="A161" t="str">
            <v>ENERO 2026</v>
          </cell>
          <cell r="D161" t="str">
            <v>Gastos Administrativos</v>
          </cell>
          <cell r="F161">
            <v>21600</v>
          </cell>
        </row>
        <row r="162">
          <cell r="A162" t="str">
            <v>ENERO 2026</v>
          </cell>
          <cell r="D162" t="str">
            <v>Gastos Administrativos</v>
          </cell>
          <cell r="F162">
            <v>1740</v>
          </cell>
        </row>
        <row r="163">
          <cell r="A163" t="str">
            <v>ENERO 2026</v>
          </cell>
          <cell r="D163" t="str">
            <v>Gastos Administrativos</v>
          </cell>
          <cell r="F163">
            <v>0</v>
          </cell>
        </row>
        <row r="164">
          <cell r="A164" t="str">
            <v>ENERO 2026</v>
          </cell>
          <cell r="D164" t="str">
            <v>Gastos Operativos</v>
          </cell>
          <cell r="F164">
            <v>0</v>
          </cell>
        </row>
        <row r="165">
          <cell r="A165" t="str">
            <v>ENERO 2026</v>
          </cell>
          <cell r="D165" t="str">
            <v>Gastos Comerciales</v>
          </cell>
          <cell r="F165">
            <v>7546.5050000000001</v>
          </cell>
        </row>
        <row r="166">
          <cell r="A166" t="str">
            <v>ENERO 2026</v>
          </cell>
        </row>
        <row r="167">
          <cell r="A167" t="str">
            <v>ENERO 2026</v>
          </cell>
          <cell r="D167" t="str">
            <v>Gastos Financieros</v>
          </cell>
          <cell r="F167">
            <v>10563.65</v>
          </cell>
        </row>
        <row r="168">
          <cell r="A168" t="str">
            <v>ENERO 2026</v>
          </cell>
          <cell r="D168" t="str">
            <v>Gastos Financieros</v>
          </cell>
          <cell r="F168">
            <v>45901.750419999997</v>
          </cell>
        </row>
        <row r="169">
          <cell r="A169" t="str">
            <v>ENERO 2026</v>
          </cell>
          <cell r="F169">
            <v>0</v>
          </cell>
        </row>
        <row r="170">
          <cell r="A170" t="str">
            <v>ENERO 2026</v>
          </cell>
          <cell r="F170">
            <v>0</v>
          </cell>
        </row>
        <row r="171">
          <cell r="A171" t="str">
            <v>ENERO 2026</v>
          </cell>
          <cell r="D171" t="str">
            <v>Gastos Operativos</v>
          </cell>
          <cell r="F171">
            <v>10078.450000000001</v>
          </cell>
        </row>
        <row r="172">
          <cell r="A172" t="str">
            <v>ENERO 2026</v>
          </cell>
          <cell r="D172" t="str">
            <v>Gastos Operativos</v>
          </cell>
          <cell r="F172">
            <v>23618.53</v>
          </cell>
        </row>
        <row r="173">
          <cell r="A173" t="str">
            <v>ENERO 2026</v>
          </cell>
          <cell r="D173" t="str">
            <v>Gastos Operativos</v>
          </cell>
          <cell r="F173">
            <v>3922.23</v>
          </cell>
        </row>
        <row r="174">
          <cell r="A174" t="str">
            <v>ENERO 2026</v>
          </cell>
          <cell r="D174" t="str">
            <v>Gastos Operativos</v>
          </cell>
          <cell r="F174">
            <v>1798</v>
          </cell>
        </row>
        <row r="175">
          <cell r="A175" t="str">
            <v>ENERO 2026</v>
          </cell>
          <cell r="D175" t="str">
            <v>Gastos Operativos</v>
          </cell>
          <cell r="F175">
            <v>2784</v>
          </cell>
        </row>
        <row r="176">
          <cell r="A176" t="str">
            <v>ENERO 2026</v>
          </cell>
          <cell r="D176" t="str">
            <v>Gastos Operativos</v>
          </cell>
          <cell r="F176">
            <v>6000</v>
          </cell>
        </row>
        <row r="177">
          <cell r="A177" t="str">
            <v>ENERO 2026</v>
          </cell>
          <cell r="D177" t="str">
            <v>Gastos Operativos</v>
          </cell>
          <cell r="F177">
            <v>21090.66</v>
          </cell>
        </row>
        <row r="178">
          <cell r="A178" t="str">
            <v>ENERO 2026</v>
          </cell>
          <cell r="D178" t="str">
            <v>Gastos Operativos</v>
          </cell>
          <cell r="F178">
            <v>2201</v>
          </cell>
        </row>
        <row r="179">
          <cell r="A179" t="str">
            <v>ENERO 2026</v>
          </cell>
          <cell r="D179" t="str">
            <v>Gastos Operativos</v>
          </cell>
          <cell r="F179">
            <v>797</v>
          </cell>
        </row>
        <row r="180">
          <cell r="A180" t="str">
            <v>ENERO 2026</v>
          </cell>
        </row>
        <row r="181">
          <cell r="A181" t="str">
            <v>ENERO 2026</v>
          </cell>
          <cell r="D181" t="str">
            <v>Gastos Operativos</v>
          </cell>
          <cell r="F181">
            <v>156700</v>
          </cell>
        </row>
        <row r="182">
          <cell r="A182" t="str">
            <v>ENERO 2026</v>
          </cell>
          <cell r="D182" t="str">
            <v>Gastos Operativos</v>
          </cell>
          <cell r="F182">
            <v>36000</v>
          </cell>
        </row>
        <row r="183">
          <cell r="A183" t="str">
            <v>ENERO 2026</v>
          </cell>
          <cell r="D183" t="str">
            <v>Gastos Operativos</v>
          </cell>
          <cell r="F183">
            <v>6416.67</v>
          </cell>
        </row>
        <row r="184">
          <cell r="A184" t="str">
            <v>ENERO 2026</v>
          </cell>
          <cell r="D184" t="str">
            <v>Gastos Operativos</v>
          </cell>
          <cell r="F184">
            <v>14329.71</v>
          </cell>
        </row>
        <row r="185">
          <cell r="A185" t="str">
            <v>ENERO 2026</v>
          </cell>
        </row>
        <row r="186">
          <cell r="A186" t="str">
            <v>ENERO 2026</v>
          </cell>
        </row>
        <row r="187">
          <cell r="A187" t="str">
            <v>ENERO 2026</v>
          </cell>
        </row>
        <row r="188">
          <cell r="A188" t="str">
            <v>ENERO 2026</v>
          </cell>
        </row>
        <row r="189">
          <cell r="A189" t="str">
            <v>ENERO 2026</v>
          </cell>
        </row>
        <row r="190">
          <cell r="A190" t="str">
            <v>ENERO 2026</v>
          </cell>
        </row>
        <row r="191">
          <cell r="A191" t="str">
            <v>ENERO 2026</v>
          </cell>
          <cell r="D191" t="str">
            <v>Gastos Operativos</v>
          </cell>
          <cell r="F191">
            <v>16762</v>
          </cell>
        </row>
        <row r="192">
          <cell r="A192" t="str">
            <v>ENERO 2026</v>
          </cell>
          <cell r="D192" t="str">
            <v>Gastos Operativos</v>
          </cell>
          <cell r="F192">
            <v>19113</v>
          </cell>
        </row>
        <row r="193">
          <cell r="A193" t="str">
            <v>ENERO 2026</v>
          </cell>
          <cell r="D193" t="str">
            <v>Gastos Operativos</v>
          </cell>
          <cell r="F193">
            <v>14000</v>
          </cell>
        </row>
        <row r="194">
          <cell r="A194" t="str">
            <v>ENERO 2026</v>
          </cell>
          <cell r="D194" t="str">
            <v>Gastos Operativos</v>
          </cell>
          <cell r="F194">
            <v>21628</v>
          </cell>
        </row>
        <row r="195">
          <cell r="A195" t="str">
            <v>ENERO 2026</v>
          </cell>
          <cell r="D195" t="str">
            <v>Gastos Operativos</v>
          </cell>
          <cell r="F195">
            <v>13794.31</v>
          </cell>
        </row>
        <row r="196">
          <cell r="A196" t="str">
            <v>ENERO 2026</v>
          </cell>
          <cell r="D196" t="str">
            <v>Gastos Operativos</v>
          </cell>
          <cell r="F196">
            <v>5104</v>
          </cell>
        </row>
        <row r="197">
          <cell r="A197" t="str">
            <v>ENERO 2026</v>
          </cell>
          <cell r="D197" t="str">
            <v>Gastos Operativos</v>
          </cell>
          <cell r="F197">
            <v>3472</v>
          </cell>
        </row>
        <row r="198">
          <cell r="A198" t="str">
            <v>ENERO 2026</v>
          </cell>
          <cell r="D198" t="str">
            <v>Gastos Operativos</v>
          </cell>
          <cell r="F198">
            <v>1899</v>
          </cell>
        </row>
        <row r="199">
          <cell r="A199" t="str">
            <v>ENERO 2026</v>
          </cell>
          <cell r="D199" t="str">
            <v>Gastos Comerciales</v>
          </cell>
          <cell r="F199">
            <v>11702.2</v>
          </cell>
        </row>
        <row r="200">
          <cell r="A200" t="str">
            <v>ENERO 2026</v>
          </cell>
        </row>
        <row r="201">
          <cell r="A201" t="str">
            <v>ENERO 2026</v>
          </cell>
          <cell r="D201" t="str">
            <v>Viáticos</v>
          </cell>
          <cell r="F201">
            <v>36966.71</v>
          </cell>
        </row>
        <row r="202">
          <cell r="A202" t="str">
            <v>ENERO 2026</v>
          </cell>
          <cell r="D202" t="str">
            <v>Viáticos</v>
          </cell>
          <cell r="F202">
            <v>7700</v>
          </cell>
        </row>
        <row r="203">
          <cell r="A203" t="str">
            <v>ENERO 2026</v>
          </cell>
          <cell r="D203" t="str">
            <v>Gastos Operativos</v>
          </cell>
          <cell r="F203">
            <v>3499.9983999999999</v>
          </cell>
        </row>
        <row r="204">
          <cell r="A204" t="str">
            <v>ENERO 2026</v>
          </cell>
          <cell r="D204" t="str">
            <v>Viáticos</v>
          </cell>
          <cell r="F204">
            <v>5125</v>
          </cell>
        </row>
        <row r="205">
          <cell r="A205" t="str">
            <v>ENERO 2026</v>
          </cell>
          <cell r="D205" t="str">
            <v>Viáticos</v>
          </cell>
          <cell r="F205">
            <v>413.75</v>
          </cell>
        </row>
        <row r="206">
          <cell r="A206" t="str">
            <v>ENERO 2026</v>
          </cell>
        </row>
        <row r="207">
          <cell r="A207" t="str">
            <v>ENERO 2026</v>
          </cell>
          <cell r="D207" t="str">
            <v>Gastos Administrativos</v>
          </cell>
          <cell r="F207">
            <v>3770</v>
          </cell>
        </row>
        <row r="208">
          <cell r="A208" t="str">
            <v>ENERO 2026</v>
          </cell>
          <cell r="D208" t="str">
            <v>Gastos Administrativos</v>
          </cell>
          <cell r="F208">
            <v>3500</v>
          </cell>
        </row>
        <row r="209">
          <cell r="A209" t="str">
            <v>ENERO 2026</v>
          </cell>
          <cell r="D209" t="str">
            <v>Gastos Operativos</v>
          </cell>
          <cell r="F209">
            <v>3803.64</v>
          </cell>
        </row>
        <row r="210">
          <cell r="A210" t="str">
            <v>ENERO 2026</v>
          </cell>
          <cell r="D210" t="str">
            <v>Gastos Comerciales</v>
          </cell>
          <cell r="F210">
            <v>0</v>
          </cell>
        </row>
        <row r="211">
          <cell r="A211" t="str">
            <v>ENERO 2026</v>
          </cell>
          <cell r="D211" t="str">
            <v>Gastos Comerciales</v>
          </cell>
          <cell r="F211">
            <v>18162.5</v>
          </cell>
        </row>
        <row r="212">
          <cell r="A212" t="str">
            <v>ENERO 2026</v>
          </cell>
        </row>
        <row r="213">
          <cell r="A213" t="str">
            <v>ENERO 2026</v>
          </cell>
          <cell r="D213" t="str">
            <v>Gastos Financieros</v>
          </cell>
          <cell r="F213">
            <v>82015.960000000006</v>
          </cell>
        </row>
        <row r="214">
          <cell r="A214" t="str">
            <v>ENERO 2026</v>
          </cell>
          <cell r="D214" t="str">
            <v>Gastos Financieros</v>
          </cell>
          <cell r="F214">
            <v>115223</v>
          </cell>
        </row>
        <row r="215">
          <cell r="A215" t="str">
            <v>ENERO 2026</v>
          </cell>
          <cell r="D215" t="str">
            <v>Gastos Financieros</v>
          </cell>
          <cell r="F215">
            <v>13312.84</v>
          </cell>
        </row>
        <row r="216">
          <cell r="A216" t="str">
            <v>ENERO 2026</v>
          </cell>
          <cell r="D216" t="str">
            <v>Gastos Financieros</v>
          </cell>
          <cell r="F216">
            <v>0</v>
          </cell>
        </row>
        <row r="217">
          <cell r="A217" t="str">
            <v>ENERO 2026</v>
          </cell>
          <cell r="F217">
            <v>0</v>
          </cell>
        </row>
        <row r="218">
          <cell r="A218" t="str">
            <v>ENERO 2026</v>
          </cell>
          <cell r="D218" t="str">
            <v>Gastos Operativos</v>
          </cell>
          <cell r="F218">
            <v>1064</v>
          </cell>
        </row>
        <row r="219">
          <cell r="A219" t="str">
            <v>ENERO 2026</v>
          </cell>
          <cell r="D219" t="str">
            <v>Gastos Operativos</v>
          </cell>
          <cell r="F219">
            <v>0</v>
          </cell>
        </row>
        <row r="220">
          <cell r="A220" t="str">
            <v>ENERO 2026</v>
          </cell>
          <cell r="D220" t="str">
            <v>Gastos Operativos</v>
          </cell>
          <cell r="F220">
            <v>0</v>
          </cell>
        </row>
        <row r="221">
          <cell r="A221" t="str">
            <v>ENERO 2026</v>
          </cell>
          <cell r="D221" t="str">
            <v>Gastos Operativos</v>
          </cell>
          <cell r="F221">
            <v>0</v>
          </cell>
        </row>
        <row r="222">
          <cell r="A222" t="str">
            <v>ENERO 2026</v>
          </cell>
          <cell r="D222" t="str">
            <v>Gastos Operativos</v>
          </cell>
          <cell r="F222">
            <v>8778.67</v>
          </cell>
        </row>
        <row r="223">
          <cell r="A223" t="str">
            <v>ENERO 2026</v>
          </cell>
          <cell r="D223" t="str">
            <v>Gastos Operativos</v>
          </cell>
          <cell r="F223">
            <v>0</v>
          </cell>
        </row>
        <row r="224">
          <cell r="A224" t="str">
            <v>ENERO 2026</v>
          </cell>
          <cell r="D224" t="str">
            <v>Gastos Operativos</v>
          </cell>
          <cell r="F224">
            <v>2286.5500000000002</v>
          </cell>
        </row>
        <row r="225">
          <cell r="A225" t="str">
            <v>ENERO 2026</v>
          </cell>
          <cell r="D225" t="str">
            <v>Gastos Operativos</v>
          </cell>
          <cell r="F225">
            <v>0</v>
          </cell>
        </row>
        <row r="226">
          <cell r="A226" t="str">
            <v>ENERO 2026</v>
          </cell>
          <cell r="D226" t="str">
            <v>Gastos Operativos</v>
          </cell>
          <cell r="F226">
            <v>0</v>
          </cell>
        </row>
        <row r="227">
          <cell r="A227" t="str">
            <v>ENERO 2026</v>
          </cell>
          <cell r="D227" t="str">
            <v>Gastos Operativos</v>
          </cell>
          <cell r="F227">
            <v>4766.5600000000004</v>
          </cell>
        </row>
        <row r="228">
          <cell r="A228" t="str">
            <v>ENERO 2026</v>
          </cell>
          <cell r="D228" t="str">
            <v>Gastos Operativos</v>
          </cell>
          <cell r="F228">
            <v>0</v>
          </cell>
        </row>
        <row r="229">
          <cell r="A229" t="str">
            <v>ENERO 2026</v>
          </cell>
        </row>
        <row r="230">
          <cell r="A230" t="str">
            <v>ENERO 2026</v>
          </cell>
          <cell r="D230" t="str">
            <v>Gastos Operativos</v>
          </cell>
          <cell r="F230">
            <v>30000</v>
          </cell>
        </row>
        <row r="231">
          <cell r="A231" t="str">
            <v>ENERO 2026</v>
          </cell>
          <cell r="D231" t="str">
            <v>Gastos Operativos</v>
          </cell>
          <cell r="F231">
            <v>0</v>
          </cell>
        </row>
        <row r="232">
          <cell r="A232" t="str">
            <v>ENERO 2026</v>
          </cell>
          <cell r="D232" t="str">
            <v>Gastos Operativos</v>
          </cell>
          <cell r="F232">
            <v>3719.83</v>
          </cell>
        </row>
        <row r="233">
          <cell r="A233" t="str">
            <v>ENERO 2026</v>
          </cell>
        </row>
        <row r="234">
          <cell r="A234" t="str">
            <v>ENERO 2026</v>
          </cell>
        </row>
        <row r="235">
          <cell r="A235" t="str">
            <v>ENERO 2026</v>
          </cell>
        </row>
        <row r="236">
          <cell r="A236" t="str">
            <v>ENERO 2026</v>
          </cell>
        </row>
        <row r="237">
          <cell r="A237" t="str">
            <v>ENERO 2026</v>
          </cell>
        </row>
        <row r="238">
          <cell r="A238" t="str">
            <v>ENERO 2026</v>
          </cell>
        </row>
        <row r="239">
          <cell r="A239" t="str">
            <v>ENERO 2026</v>
          </cell>
          <cell r="D239" t="str">
            <v>Gastos Operativos</v>
          </cell>
          <cell r="F239">
            <v>0</v>
          </cell>
        </row>
        <row r="240">
          <cell r="A240" t="str">
            <v>ENERO 2026</v>
          </cell>
          <cell r="D240" t="str">
            <v>Gastos Operativos</v>
          </cell>
          <cell r="F240">
            <v>0</v>
          </cell>
        </row>
        <row r="241">
          <cell r="A241" t="str">
            <v>ENERO 2026</v>
          </cell>
          <cell r="D241" t="str">
            <v>Gastos Operativos</v>
          </cell>
          <cell r="F241">
            <v>962.4</v>
          </cell>
        </row>
        <row r="242">
          <cell r="A242" t="str">
            <v>ENERO 2026</v>
          </cell>
          <cell r="D242" t="str">
            <v>Gastos Operativos</v>
          </cell>
          <cell r="F242">
            <v>1200</v>
          </cell>
        </row>
        <row r="243">
          <cell r="A243" t="str">
            <v>ENERO 2026</v>
          </cell>
          <cell r="D243" t="str">
            <v>Gastos Operativos</v>
          </cell>
          <cell r="F243">
            <v>4057.5</v>
          </cell>
        </row>
        <row r="244">
          <cell r="A244" t="str">
            <v>ENERO 2026</v>
          </cell>
          <cell r="D244" t="str">
            <v>Gastos Operativos</v>
          </cell>
          <cell r="F244">
            <v>1292.24</v>
          </cell>
        </row>
        <row r="245">
          <cell r="A245" t="str">
            <v>ENERO 2026</v>
          </cell>
        </row>
        <row r="246">
          <cell r="A246" t="str">
            <v>ENERO 2026</v>
          </cell>
          <cell r="D246" t="str">
            <v>Viáticos</v>
          </cell>
          <cell r="F246">
            <v>0</v>
          </cell>
        </row>
        <row r="247">
          <cell r="A247" t="str">
            <v>ENERO 2026</v>
          </cell>
          <cell r="D247" t="str">
            <v>Viáticos</v>
          </cell>
          <cell r="F247">
            <v>12701.18</v>
          </cell>
        </row>
        <row r="248">
          <cell r="A248" t="str">
            <v>ENERO 2026</v>
          </cell>
          <cell r="D248" t="str">
            <v>Viáticos</v>
          </cell>
          <cell r="F248">
            <v>0</v>
          </cell>
        </row>
        <row r="249">
          <cell r="A249" t="str">
            <v>ENERO 2026</v>
          </cell>
          <cell r="D249" t="str">
            <v>Gastos Operativos</v>
          </cell>
          <cell r="F249">
            <v>14000</v>
          </cell>
        </row>
        <row r="250">
          <cell r="A250" t="str">
            <v>ENERO 2026</v>
          </cell>
          <cell r="D250" t="str">
            <v>Viáticos</v>
          </cell>
          <cell r="F250">
            <v>0</v>
          </cell>
        </row>
        <row r="251">
          <cell r="A251" t="str">
            <v>ENERO 2026</v>
          </cell>
          <cell r="D251" t="str">
            <v>Viáticos</v>
          </cell>
          <cell r="F251">
            <v>0</v>
          </cell>
        </row>
        <row r="252">
          <cell r="A252" t="str">
            <v>ENERO 2026</v>
          </cell>
        </row>
        <row r="253">
          <cell r="A253" t="str">
            <v>ENERO 2026</v>
          </cell>
          <cell r="D253" t="str">
            <v>Gastos Administrativos</v>
          </cell>
          <cell r="F253">
            <v>0</v>
          </cell>
        </row>
        <row r="254">
          <cell r="A254" t="str">
            <v>ENERO 2026</v>
          </cell>
          <cell r="D254" t="str">
            <v>Gastos Administrativos</v>
          </cell>
          <cell r="F254">
            <v>0</v>
          </cell>
        </row>
        <row r="255">
          <cell r="A255" t="str">
            <v>ENERO 2026</v>
          </cell>
          <cell r="D255" t="str">
            <v>Gastos Operativos</v>
          </cell>
          <cell r="F255">
            <v>0</v>
          </cell>
        </row>
        <row r="256">
          <cell r="A256" t="str">
            <v>ENERO 2026</v>
          </cell>
          <cell r="D256" t="str">
            <v>Gastos Administrativos</v>
          </cell>
          <cell r="F256">
            <v>0</v>
          </cell>
        </row>
        <row r="257">
          <cell r="A257" t="str">
            <v>ENERO 2026</v>
          </cell>
          <cell r="D257" t="str">
            <v>Gastos Comerciales</v>
          </cell>
          <cell r="F257">
            <v>0</v>
          </cell>
        </row>
        <row r="258">
          <cell r="A258" t="str">
            <v>ENERO 2026</v>
          </cell>
        </row>
        <row r="259">
          <cell r="A259" t="str">
            <v>ENERO 2026</v>
          </cell>
          <cell r="D259" t="str">
            <v>Gastos Financieros</v>
          </cell>
          <cell r="F259">
            <v>800</v>
          </cell>
        </row>
        <row r="260">
          <cell r="A260" t="str">
            <v>DICIEMBRE 1899</v>
          </cell>
          <cell r="F260">
            <v>0</v>
          </cell>
        </row>
        <row r="261">
          <cell r="A261" t="str">
            <v>DICIEMBRE 1899</v>
          </cell>
          <cell r="F261">
            <v>0</v>
          </cell>
        </row>
        <row r="262">
          <cell r="A262" t="str">
            <v>DICIEMBRE 1899</v>
          </cell>
          <cell r="F262">
            <v>0</v>
          </cell>
        </row>
        <row r="263">
          <cell r="A263" t="str">
            <v>DICIEMBRE 1899</v>
          </cell>
          <cell r="F263">
            <v>0</v>
          </cell>
        </row>
        <row r="264">
          <cell r="A264" t="str">
            <v>DICIEMBRE 1899</v>
          </cell>
          <cell r="F264">
            <v>0</v>
          </cell>
        </row>
        <row r="265">
          <cell r="A265" t="str">
            <v>DICIEMBRE 1899</v>
          </cell>
          <cell r="F265">
            <v>0</v>
          </cell>
        </row>
        <row r="266">
          <cell r="A266" t="str">
            <v>DICIEMBRE 1899</v>
          </cell>
          <cell r="F266">
            <v>0</v>
          </cell>
        </row>
        <row r="267">
          <cell r="A267" t="str">
            <v>DICIEMBRE 1899</v>
          </cell>
          <cell r="F267">
            <v>0</v>
          </cell>
        </row>
        <row r="268">
          <cell r="A268" t="str">
            <v>DICIEMBRE 1899</v>
          </cell>
          <cell r="F268">
            <v>0</v>
          </cell>
        </row>
        <row r="269">
          <cell r="A269" t="str">
            <v>DICIEMBRE 1899</v>
          </cell>
          <cell r="F269">
            <v>0</v>
          </cell>
        </row>
        <row r="270">
          <cell r="A270" t="str">
            <v>DICIEMBRE 1899</v>
          </cell>
          <cell r="F270">
            <v>0</v>
          </cell>
        </row>
        <row r="271">
          <cell r="A271" t="str">
            <v>DICIEMBRE 1899</v>
          </cell>
          <cell r="F271">
            <v>0</v>
          </cell>
        </row>
        <row r="272">
          <cell r="A272" t="str">
            <v>DICIEMBRE 1899</v>
          </cell>
          <cell r="F272">
            <v>0</v>
          </cell>
        </row>
        <row r="273">
          <cell r="A273" t="str">
            <v>DICIEMBRE 1899</v>
          </cell>
          <cell r="F273">
            <v>0</v>
          </cell>
        </row>
        <row r="274">
          <cell r="A274" t="str">
            <v>DICIEMBRE 1899</v>
          </cell>
          <cell r="F274">
            <v>0</v>
          </cell>
        </row>
        <row r="275">
          <cell r="A275" t="str">
            <v>DICIEMBRE 1899</v>
          </cell>
          <cell r="F275">
            <v>0</v>
          </cell>
        </row>
        <row r="276">
          <cell r="A276" t="str">
            <v>DICIEMBRE 1899</v>
          </cell>
          <cell r="F276">
            <v>0</v>
          </cell>
        </row>
        <row r="277">
          <cell r="A277" t="str">
            <v>DICIEMBRE 1899</v>
          </cell>
          <cell r="F277">
            <v>0</v>
          </cell>
        </row>
        <row r="278">
          <cell r="A278" t="str">
            <v>DICIEMBRE 1899</v>
          </cell>
          <cell r="F278">
            <v>0</v>
          </cell>
        </row>
        <row r="279">
          <cell r="A279" t="str">
            <v>DICIEMBRE 1899</v>
          </cell>
          <cell r="F279">
            <v>0</v>
          </cell>
        </row>
        <row r="280">
          <cell r="A280" t="str">
            <v>DICIEMBRE 1899</v>
          </cell>
          <cell r="F280">
            <v>0</v>
          </cell>
        </row>
        <row r="281">
          <cell r="A281" t="str">
            <v>DICIEMBRE 1899</v>
          </cell>
          <cell r="F281">
            <v>0</v>
          </cell>
        </row>
        <row r="282">
          <cell r="A282" t="str">
            <v>DICIEMBRE 1899</v>
          </cell>
          <cell r="F282">
            <v>0</v>
          </cell>
        </row>
        <row r="283">
          <cell r="A283" t="str">
            <v>DICIEMBRE 1899</v>
          </cell>
          <cell r="F283">
            <v>0</v>
          </cell>
        </row>
        <row r="284">
          <cell r="A284" t="str">
            <v>DICIEMBRE 1899</v>
          </cell>
          <cell r="F284">
            <v>0</v>
          </cell>
        </row>
        <row r="285">
          <cell r="A285" t="str">
            <v>DICIEMBRE 1899</v>
          </cell>
          <cell r="F285">
            <v>0</v>
          </cell>
        </row>
        <row r="286">
          <cell r="A286" t="str">
            <v>DICIEMBRE 1899</v>
          </cell>
          <cell r="F286">
            <v>0</v>
          </cell>
        </row>
        <row r="287">
          <cell r="A287" t="str">
            <v>DICIEMBRE 1899</v>
          </cell>
          <cell r="F287">
            <v>0</v>
          </cell>
        </row>
        <row r="288">
          <cell r="A288" t="str">
            <v>DICIEMBRE 1899</v>
          </cell>
          <cell r="F288">
            <v>0</v>
          </cell>
        </row>
        <row r="289">
          <cell r="A289" t="str">
            <v>DICIEMBRE 1899</v>
          </cell>
          <cell r="F289">
            <v>0</v>
          </cell>
        </row>
        <row r="290">
          <cell r="A290" t="str">
            <v>DICIEMBRE 1899</v>
          </cell>
          <cell r="F290">
            <v>0</v>
          </cell>
        </row>
        <row r="291">
          <cell r="A291" t="str">
            <v>DICIEMBRE 1899</v>
          </cell>
          <cell r="F291">
            <v>0</v>
          </cell>
        </row>
        <row r="292">
          <cell r="A292" t="str">
            <v>DICIEMBRE 1899</v>
          </cell>
          <cell r="F292">
            <v>0</v>
          </cell>
        </row>
        <row r="293">
          <cell r="A293" t="str">
            <v>DICIEMBRE 1899</v>
          </cell>
          <cell r="F293">
            <v>0</v>
          </cell>
        </row>
        <row r="294">
          <cell r="A294" t="str">
            <v>DICIEMBRE 1899</v>
          </cell>
          <cell r="F294">
            <v>0</v>
          </cell>
        </row>
        <row r="295">
          <cell r="A295" t="str">
            <v>DICIEMBRE 1899</v>
          </cell>
          <cell r="F295">
            <v>0</v>
          </cell>
        </row>
        <row r="296">
          <cell r="A296" t="str">
            <v>DICIEMBRE 1899</v>
          </cell>
          <cell r="F296">
            <v>0</v>
          </cell>
        </row>
        <row r="297">
          <cell r="A297" t="str">
            <v>DICIEMBRE 1899</v>
          </cell>
          <cell r="F297">
            <v>0</v>
          </cell>
        </row>
        <row r="298">
          <cell r="A298" t="str">
            <v>DICIEMBRE 1899</v>
          </cell>
          <cell r="F298">
            <v>0</v>
          </cell>
        </row>
        <row r="299">
          <cell r="A299" t="str">
            <v>DICIEMBRE 1899</v>
          </cell>
          <cell r="F299">
            <v>0</v>
          </cell>
        </row>
        <row r="300">
          <cell r="A300" t="str">
            <v>DICIEMBRE 1899</v>
          </cell>
          <cell r="F300">
            <v>0</v>
          </cell>
        </row>
        <row r="301">
          <cell r="A301" t="str">
            <v>DICIEMBRE 1899</v>
          </cell>
          <cell r="F301">
            <v>0</v>
          </cell>
        </row>
        <row r="302">
          <cell r="A302" t="str">
            <v>DICIEMBRE 1899</v>
          </cell>
          <cell r="F302">
            <v>0</v>
          </cell>
        </row>
        <row r="303">
          <cell r="A303" t="str">
            <v>DICIEMBRE 1899</v>
          </cell>
          <cell r="F303">
            <v>0</v>
          </cell>
        </row>
        <row r="304">
          <cell r="A304" t="str">
            <v>DICIEMBRE 1899</v>
          </cell>
          <cell r="F304">
            <v>0</v>
          </cell>
        </row>
        <row r="305">
          <cell r="A305" t="str">
            <v>DICIEMBRE 1899</v>
          </cell>
          <cell r="F305">
            <v>0</v>
          </cell>
        </row>
        <row r="306">
          <cell r="A306" t="str">
            <v>DICIEMBRE 1899</v>
          </cell>
          <cell r="F306">
            <v>0</v>
          </cell>
        </row>
        <row r="307">
          <cell r="A307" t="str">
            <v>DICIEMBRE 1899</v>
          </cell>
          <cell r="F307">
            <v>0</v>
          </cell>
        </row>
        <row r="308">
          <cell r="A308" t="str">
            <v>DICIEMBRE 1899</v>
          </cell>
          <cell r="F308">
            <v>0</v>
          </cell>
        </row>
        <row r="309">
          <cell r="A309" t="str">
            <v>DICIEMBRE 1899</v>
          </cell>
          <cell r="F309">
            <v>0</v>
          </cell>
        </row>
        <row r="310">
          <cell r="A310" t="str">
            <v>DICIEMBRE 1899</v>
          </cell>
          <cell r="F310">
            <v>0</v>
          </cell>
        </row>
        <row r="311">
          <cell r="A311" t="str">
            <v>DICIEMBRE 1899</v>
          </cell>
          <cell r="F311">
            <v>0</v>
          </cell>
        </row>
        <row r="312">
          <cell r="A312" t="str">
            <v>DICIEMBRE 1899</v>
          </cell>
          <cell r="F312">
            <v>0</v>
          </cell>
        </row>
        <row r="313">
          <cell r="A313" t="str">
            <v>DICIEMBRE 1899</v>
          </cell>
          <cell r="F313">
            <v>0</v>
          </cell>
        </row>
        <row r="314">
          <cell r="A314" t="str">
            <v>DICIEMBRE 1899</v>
          </cell>
          <cell r="F314">
            <v>0</v>
          </cell>
        </row>
        <row r="315">
          <cell r="A315" t="str">
            <v>DICIEMBRE 1899</v>
          </cell>
          <cell r="F315">
            <v>0</v>
          </cell>
        </row>
        <row r="316">
          <cell r="A316" t="str">
            <v>DICIEMBRE 1899</v>
          </cell>
          <cell r="F316">
            <v>0</v>
          </cell>
        </row>
        <row r="317">
          <cell r="A317" t="str">
            <v>DICIEMBRE 1899</v>
          </cell>
          <cell r="F317">
            <v>0</v>
          </cell>
        </row>
        <row r="318">
          <cell r="A318" t="str">
            <v>DICIEMBRE 1899</v>
          </cell>
          <cell r="F318">
            <v>0</v>
          </cell>
        </row>
        <row r="319">
          <cell r="A319" t="str">
            <v>DICIEMBRE 1899</v>
          </cell>
          <cell r="F319">
            <v>0</v>
          </cell>
        </row>
        <row r="320">
          <cell r="A320" t="str">
            <v>DICIEMBRE 1899</v>
          </cell>
          <cell r="F320">
            <v>0</v>
          </cell>
        </row>
        <row r="321">
          <cell r="A321" t="str">
            <v>DICIEMBRE 1899</v>
          </cell>
          <cell r="F321">
            <v>0</v>
          </cell>
        </row>
        <row r="322">
          <cell r="A322" t="str">
            <v>DICIEMBRE 1899</v>
          </cell>
          <cell r="F322">
            <v>0</v>
          </cell>
        </row>
        <row r="323">
          <cell r="A323" t="str">
            <v>DICIEMBRE 1899</v>
          </cell>
          <cell r="F323">
            <v>0</v>
          </cell>
        </row>
        <row r="324">
          <cell r="A324" t="str">
            <v>DICIEMBRE 1899</v>
          </cell>
          <cell r="F324">
            <v>0</v>
          </cell>
        </row>
        <row r="325">
          <cell r="A325" t="str">
            <v>DICIEMBRE 1899</v>
          </cell>
          <cell r="F325">
            <v>0</v>
          </cell>
        </row>
        <row r="326">
          <cell r="A326" t="str">
            <v>DICIEMBRE 1899</v>
          </cell>
          <cell r="F326">
            <v>0</v>
          </cell>
        </row>
        <row r="327">
          <cell r="A327" t="str">
            <v>DICIEMBRE 1899</v>
          </cell>
          <cell r="F327">
            <v>0</v>
          </cell>
        </row>
        <row r="328">
          <cell r="A328" t="str">
            <v>DICIEMBRE 1899</v>
          </cell>
          <cell r="F328">
            <v>0</v>
          </cell>
        </row>
        <row r="329">
          <cell r="A329" t="str">
            <v>DICIEMBRE 1899</v>
          </cell>
          <cell r="F329">
            <v>0</v>
          </cell>
        </row>
        <row r="330">
          <cell r="A330" t="str">
            <v>DICIEMBRE 1899</v>
          </cell>
          <cell r="F330">
            <v>0</v>
          </cell>
        </row>
        <row r="331">
          <cell r="A331" t="str">
            <v>DICIEMBRE 1899</v>
          </cell>
          <cell r="F331">
            <v>0</v>
          </cell>
        </row>
        <row r="332">
          <cell r="A332" t="str">
            <v>DICIEMBRE 1899</v>
          </cell>
          <cell r="F332">
            <v>0</v>
          </cell>
        </row>
        <row r="333">
          <cell r="A333" t="str">
            <v>DICIEMBRE 1899</v>
          </cell>
          <cell r="F333">
            <v>0</v>
          </cell>
        </row>
        <row r="334">
          <cell r="A334" t="str">
            <v>DICIEMBRE 1899</v>
          </cell>
          <cell r="F334">
            <v>0</v>
          </cell>
        </row>
        <row r="335">
          <cell r="A335" t="str">
            <v>DICIEMBRE 1899</v>
          </cell>
          <cell r="F335">
            <v>0</v>
          </cell>
        </row>
        <row r="336">
          <cell r="A336" t="str">
            <v>DICIEMBRE 1899</v>
          </cell>
          <cell r="F336">
            <v>0</v>
          </cell>
        </row>
        <row r="337">
          <cell r="A337" t="str">
            <v>DICIEMBRE 1899</v>
          </cell>
          <cell r="F337">
            <v>0</v>
          </cell>
        </row>
        <row r="338">
          <cell r="A338" t="str">
            <v>DICIEMBRE 1899</v>
          </cell>
          <cell r="F338">
            <v>0</v>
          </cell>
        </row>
        <row r="339">
          <cell r="A339" t="str">
            <v>DICIEMBRE 1899</v>
          </cell>
          <cell r="F339">
            <v>0</v>
          </cell>
        </row>
        <row r="340">
          <cell r="A340" t="str">
            <v>DICIEMBRE 1899</v>
          </cell>
          <cell r="F340">
            <v>0</v>
          </cell>
        </row>
        <row r="341">
          <cell r="A341" t="str">
            <v>DICIEMBRE 1899</v>
          </cell>
          <cell r="F341">
            <v>0</v>
          </cell>
        </row>
        <row r="342">
          <cell r="A342" t="str">
            <v>DICIEMBRE 1899</v>
          </cell>
          <cell r="F342">
            <v>0</v>
          </cell>
        </row>
        <row r="343">
          <cell r="A343" t="str">
            <v>DICIEMBRE 1899</v>
          </cell>
          <cell r="F343">
            <v>0</v>
          </cell>
        </row>
        <row r="344">
          <cell r="A344" t="str">
            <v>DICIEMBRE 1899</v>
          </cell>
          <cell r="F344">
            <v>0</v>
          </cell>
        </row>
        <row r="345">
          <cell r="A345" t="str">
            <v>DICIEMBRE 1899</v>
          </cell>
          <cell r="F345">
            <v>0</v>
          </cell>
        </row>
        <row r="346">
          <cell r="A346" t="str">
            <v>DICIEMBRE 1899</v>
          </cell>
          <cell r="F346">
            <v>0</v>
          </cell>
        </row>
        <row r="347">
          <cell r="A347" t="str">
            <v>DICIEMBRE 1899</v>
          </cell>
          <cell r="F347">
            <v>0</v>
          </cell>
        </row>
        <row r="348">
          <cell r="A348" t="str">
            <v>DICIEMBRE 1899</v>
          </cell>
          <cell r="F348">
            <v>0</v>
          </cell>
        </row>
        <row r="349">
          <cell r="A349" t="str">
            <v>DICIEMBRE 1899</v>
          </cell>
          <cell r="F349">
            <v>0</v>
          </cell>
        </row>
        <row r="350">
          <cell r="A350" t="str">
            <v>DICIEMBRE 1899</v>
          </cell>
          <cell r="F350">
            <v>0</v>
          </cell>
        </row>
        <row r="351">
          <cell r="A351" t="str">
            <v>DICIEMBRE 1899</v>
          </cell>
          <cell r="F351">
            <v>0</v>
          </cell>
        </row>
        <row r="352">
          <cell r="A352" t="str">
            <v>DICIEMBRE 1899</v>
          </cell>
          <cell r="F352">
            <v>0</v>
          </cell>
        </row>
        <row r="353">
          <cell r="A353" t="str">
            <v>DICIEMBRE 1899</v>
          </cell>
          <cell r="F353">
            <v>0</v>
          </cell>
        </row>
        <row r="354">
          <cell r="A354" t="str">
            <v>DICIEMBRE 1899</v>
          </cell>
          <cell r="F354">
            <v>0</v>
          </cell>
        </row>
        <row r="355">
          <cell r="A355" t="str">
            <v>DICIEMBRE 1899</v>
          </cell>
          <cell r="F355">
            <v>0</v>
          </cell>
        </row>
        <row r="356">
          <cell r="A356" t="str">
            <v>DICIEMBRE 1899</v>
          </cell>
          <cell r="F356">
            <v>0</v>
          </cell>
        </row>
        <row r="357">
          <cell r="A357" t="str">
            <v>DICIEMBRE 1899</v>
          </cell>
          <cell r="F357">
            <v>0</v>
          </cell>
        </row>
        <row r="358">
          <cell r="A358" t="str">
            <v>DICIEMBRE 1899</v>
          </cell>
          <cell r="F358">
            <v>0</v>
          </cell>
        </row>
        <row r="359">
          <cell r="A359" t="str">
            <v>DICIEMBRE 1899</v>
          </cell>
          <cell r="F359">
            <v>0</v>
          </cell>
        </row>
        <row r="360">
          <cell r="A360" t="str">
            <v>DICIEMBRE 1899</v>
          </cell>
          <cell r="F360">
            <v>0</v>
          </cell>
        </row>
        <row r="361">
          <cell r="A361" t="str">
            <v>DICIEMBRE 1899</v>
          </cell>
          <cell r="F361">
            <v>0</v>
          </cell>
        </row>
        <row r="362">
          <cell r="A362" t="str">
            <v>DICIEMBRE 1899</v>
          </cell>
          <cell r="F362">
            <v>0</v>
          </cell>
        </row>
        <row r="363">
          <cell r="A363" t="str">
            <v>DICIEMBRE 1899</v>
          </cell>
          <cell r="F363">
            <v>0</v>
          </cell>
        </row>
        <row r="364">
          <cell r="A364" t="str">
            <v>DICIEMBRE 1899</v>
          </cell>
          <cell r="F364">
            <v>0</v>
          </cell>
        </row>
        <row r="365">
          <cell r="A365" t="str">
            <v>DICIEMBRE 1899</v>
          </cell>
          <cell r="F365">
            <v>0</v>
          </cell>
        </row>
        <row r="366">
          <cell r="A366" t="str">
            <v>DICIEMBRE 1899</v>
          </cell>
          <cell r="F366">
            <v>0</v>
          </cell>
        </row>
        <row r="367">
          <cell r="A367" t="str">
            <v>DICIEMBRE 1899</v>
          </cell>
          <cell r="F367">
            <v>0</v>
          </cell>
        </row>
        <row r="368">
          <cell r="A368" t="str">
            <v>DICIEMBRE 1899</v>
          </cell>
          <cell r="F368">
            <v>0</v>
          </cell>
        </row>
        <row r="369">
          <cell r="A369" t="str">
            <v>DICIEMBRE 1899</v>
          </cell>
          <cell r="F369">
            <v>0</v>
          </cell>
        </row>
        <row r="370">
          <cell r="A370" t="str">
            <v>DICIEMBRE 1899</v>
          </cell>
          <cell r="F370">
            <v>0</v>
          </cell>
        </row>
        <row r="371">
          <cell r="A371" t="str">
            <v>DICIEMBRE 1899</v>
          </cell>
          <cell r="F371">
            <v>0</v>
          </cell>
        </row>
        <row r="372">
          <cell r="A372" t="str">
            <v>DICIEMBRE 1899</v>
          </cell>
          <cell r="F372">
            <v>0</v>
          </cell>
        </row>
        <row r="373">
          <cell r="A373" t="str">
            <v>DICIEMBRE 1899</v>
          </cell>
          <cell r="F373">
            <v>0</v>
          </cell>
        </row>
        <row r="374">
          <cell r="A374" t="str">
            <v>DICIEMBRE 1899</v>
          </cell>
          <cell r="F374">
            <v>0</v>
          </cell>
        </row>
        <row r="375">
          <cell r="A375" t="str">
            <v>DICIEMBRE 1899</v>
          </cell>
          <cell r="F375">
            <v>0</v>
          </cell>
        </row>
        <row r="376">
          <cell r="A376" t="str">
            <v>DICIEMBRE 1899</v>
          </cell>
          <cell r="F376">
            <v>0</v>
          </cell>
        </row>
        <row r="377">
          <cell r="A377" t="str">
            <v>DICIEMBRE 1899</v>
          </cell>
          <cell r="F377">
            <v>0</v>
          </cell>
        </row>
        <row r="378">
          <cell r="A378" t="str">
            <v>DICIEMBRE 1899</v>
          </cell>
          <cell r="F378">
            <v>0</v>
          </cell>
        </row>
        <row r="379">
          <cell r="A379" t="str">
            <v>DICIEMBRE 1899</v>
          </cell>
          <cell r="F379">
            <v>0</v>
          </cell>
        </row>
        <row r="380">
          <cell r="A380" t="str">
            <v>DICIEMBRE 1899</v>
          </cell>
          <cell r="F380">
            <v>0</v>
          </cell>
        </row>
        <row r="381">
          <cell r="A381" t="str">
            <v>DICIEMBRE 1899</v>
          </cell>
          <cell r="F381">
            <v>0</v>
          </cell>
        </row>
        <row r="382">
          <cell r="A382" t="str">
            <v>DICIEMBRE 1899</v>
          </cell>
          <cell r="F382">
            <v>0</v>
          </cell>
        </row>
        <row r="383">
          <cell r="A383" t="str">
            <v>DICIEMBRE 1899</v>
          </cell>
          <cell r="F383">
            <v>0</v>
          </cell>
        </row>
        <row r="384">
          <cell r="A384" t="str">
            <v>DICIEMBRE 1899</v>
          </cell>
          <cell r="F384">
            <v>0</v>
          </cell>
        </row>
        <row r="385">
          <cell r="A385" t="str">
            <v>DICIEMBRE 1899</v>
          </cell>
          <cell r="F385">
            <v>0</v>
          </cell>
        </row>
        <row r="386">
          <cell r="A386" t="str">
            <v>DICIEMBRE 1899</v>
          </cell>
          <cell r="F386">
            <v>0</v>
          </cell>
        </row>
        <row r="387">
          <cell r="A387" t="str">
            <v>DICIEMBRE 1899</v>
          </cell>
          <cell r="F387">
            <v>0</v>
          </cell>
        </row>
        <row r="388">
          <cell r="A388" t="str">
            <v>DICIEMBRE 1899</v>
          </cell>
          <cell r="F388">
            <v>0</v>
          </cell>
        </row>
        <row r="389">
          <cell r="A389" t="str">
            <v>DICIEMBRE 1899</v>
          </cell>
          <cell r="F389">
            <v>0</v>
          </cell>
        </row>
        <row r="390">
          <cell r="A390" t="str">
            <v>DICIEMBRE 1899</v>
          </cell>
          <cell r="F390">
            <v>0</v>
          </cell>
        </row>
        <row r="391">
          <cell r="A391" t="str">
            <v>DICIEMBRE 1899</v>
          </cell>
          <cell r="F391">
            <v>0</v>
          </cell>
        </row>
        <row r="392">
          <cell r="A392" t="str">
            <v>DICIEMBRE 1899</v>
          </cell>
          <cell r="F392">
            <v>0</v>
          </cell>
        </row>
        <row r="393">
          <cell r="A393" t="str">
            <v>DICIEMBRE 1899</v>
          </cell>
          <cell r="F393">
            <v>0</v>
          </cell>
        </row>
        <row r="394">
          <cell r="A394" t="str">
            <v>DICIEMBRE 1899</v>
          </cell>
          <cell r="F394">
            <v>0</v>
          </cell>
        </row>
        <row r="395">
          <cell r="A395" t="str">
            <v>DICIEMBRE 1899</v>
          </cell>
          <cell r="F395">
            <v>0</v>
          </cell>
        </row>
        <row r="396">
          <cell r="A396" t="str">
            <v>DICIEMBRE 1899</v>
          </cell>
          <cell r="F396">
            <v>0</v>
          </cell>
        </row>
        <row r="397">
          <cell r="A397" t="str">
            <v>DICIEMBRE 1899</v>
          </cell>
          <cell r="F397">
            <v>0</v>
          </cell>
        </row>
        <row r="398">
          <cell r="A398" t="str">
            <v>DICIEMBRE 1899</v>
          </cell>
          <cell r="F398">
            <v>0</v>
          </cell>
        </row>
        <row r="399">
          <cell r="A399" t="str">
            <v>DICIEMBRE 1899</v>
          </cell>
          <cell r="F399">
            <v>0</v>
          </cell>
        </row>
        <row r="400">
          <cell r="A400" t="str">
            <v>DICIEMBRE 1899</v>
          </cell>
          <cell r="F400">
            <v>0</v>
          </cell>
        </row>
        <row r="401">
          <cell r="A401" t="str">
            <v>DICIEMBRE 1899</v>
          </cell>
          <cell r="F401">
            <v>0</v>
          </cell>
        </row>
        <row r="402">
          <cell r="A402" t="str">
            <v>DICIEMBRE 1899</v>
          </cell>
          <cell r="F402">
            <v>0</v>
          </cell>
        </row>
        <row r="403">
          <cell r="A403" t="str">
            <v>DICIEMBRE 1899</v>
          </cell>
          <cell r="F403">
            <v>0</v>
          </cell>
        </row>
        <row r="404">
          <cell r="A404" t="str">
            <v>DICIEMBRE 1899</v>
          </cell>
          <cell r="F404">
            <v>0</v>
          </cell>
        </row>
        <row r="405">
          <cell r="A405" t="str">
            <v>DICIEMBRE 1899</v>
          </cell>
          <cell r="F405">
            <v>0</v>
          </cell>
        </row>
        <row r="406">
          <cell r="A406" t="str">
            <v>DICIEMBRE 1899</v>
          </cell>
          <cell r="F406">
            <v>0</v>
          </cell>
        </row>
        <row r="407">
          <cell r="A407" t="str">
            <v>DICIEMBRE 1899</v>
          </cell>
          <cell r="F407">
            <v>0</v>
          </cell>
        </row>
        <row r="408">
          <cell r="A408" t="str">
            <v>DICIEMBRE 1899</v>
          </cell>
          <cell r="F408">
            <v>0</v>
          </cell>
        </row>
        <row r="409">
          <cell r="A409" t="str">
            <v>DICIEMBRE 1899</v>
          </cell>
          <cell r="F409">
            <v>0</v>
          </cell>
        </row>
        <row r="410">
          <cell r="A410" t="str">
            <v>DICIEMBRE 1899</v>
          </cell>
          <cell r="F410">
            <v>0</v>
          </cell>
        </row>
        <row r="411">
          <cell r="A411" t="str">
            <v>DICIEMBRE 1899</v>
          </cell>
          <cell r="F411">
            <v>0</v>
          </cell>
        </row>
        <row r="412">
          <cell r="A412" t="str">
            <v>DICIEMBRE 1899</v>
          </cell>
          <cell r="F412">
            <v>0</v>
          </cell>
        </row>
        <row r="413">
          <cell r="A413" t="str">
            <v>DICIEMBRE 1899</v>
          </cell>
          <cell r="F413">
            <v>0</v>
          </cell>
        </row>
        <row r="414">
          <cell r="A414" t="str">
            <v>DICIEMBRE 1899</v>
          </cell>
          <cell r="F414">
            <v>0</v>
          </cell>
        </row>
        <row r="415">
          <cell r="A415" t="str">
            <v>DICIEMBRE 1899</v>
          </cell>
          <cell r="F415">
            <v>0</v>
          </cell>
        </row>
        <row r="416">
          <cell r="A416" t="str">
            <v>DICIEMBRE 1899</v>
          </cell>
          <cell r="F416">
            <v>0</v>
          </cell>
        </row>
        <row r="417">
          <cell r="A417" t="str">
            <v>DICIEMBRE 1899</v>
          </cell>
          <cell r="F417">
            <v>0</v>
          </cell>
        </row>
        <row r="418">
          <cell r="A418" t="str">
            <v>DICIEMBRE 1899</v>
          </cell>
          <cell r="F418">
            <v>0</v>
          </cell>
        </row>
        <row r="419">
          <cell r="A419" t="str">
            <v>DICIEMBRE 1899</v>
          </cell>
          <cell r="F419">
            <v>0</v>
          </cell>
        </row>
        <row r="420">
          <cell r="A420" t="str">
            <v>DICIEMBRE 1899</v>
          </cell>
          <cell r="F420">
            <v>0</v>
          </cell>
        </row>
        <row r="421">
          <cell r="A421" t="str">
            <v>DICIEMBRE 1899</v>
          </cell>
          <cell r="F421">
            <v>0</v>
          </cell>
        </row>
        <row r="422">
          <cell r="A422" t="str">
            <v>DICIEMBRE 1899</v>
          </cell>
          <cell r="F422">
            <v>0</v>
          </cell>
        </row>
        <row r="423">
          <cell r="A423" t="str">
            <v>DICIEMBRE 1899</v>
          </cell>
          <cell r="F423">
            <v>0</v>
          </cell>
        </row>
        <row r="424">
          <cell r="A424" t="str">
            <v>DICIEMBRE 1899</v>
          </cell>
          <cell r="F424">
            <v>0</v>
          </cell>
        </row>
        <row r="425">
          <cell r="A425" t="str">
            <v>DICIEMBRE 1899</v>
          </cell>
          <cell r="F425">
            <v>0</v>
          </cell>
        </row>
        <row r="426">
          <cell r="A426" t="str">
            <v>DICIEMBRE 1899</v>
          </cell>
          <cell r="F426">
            <v>0</v>
          </cell>
        </row>
        <row r="427">
          <cell r="A427" t="str">
            <v>DICIEMBRE 1899</v>
          </cell>
          <cell r="F427">
            <v>0</v>
          </cell>
        </row>
        <row r="428">
          <cell r="A428" t="str">
            <v>DICIEMBRE 1899</v>
          </cell>
          <cell r="F428">
            <v>0</v>
          </cell>
        </row>
        <row r="429">
          <cell r="A429" t="str">
            <v>DICIEMBRE 1899</v>
          </cell>
          <cell r="F429">
            <v>0</v>
          </cell>
        </row>
        <row r="430">
          <cell r="A430" t="str">
            <v>DICIEMBRE 1899</v>
          </cell>
          <cell r="F430">
            <v>0</v>
          </cell>
        </row>
        <row r="431">
          <cell r="A431" t="str">
            <v>DICIEMBRE 1899</v>
          </cell>
          <cell r="F431">
            <v>0</v>
          </cell>
        </row>
        <row r="432">
          <cell r="A432" t="str">
            <v>DICIEMBRE 1899</v>
          </cell>
          <cell r="F432">
            <v>0</v>
          </cell>
        </row>
        <row r="433">
          <cell r="A433" t="str">
            <v>DICIEMBRE 1899</v>
          </cell>
          <cell r="F433">
            <v>0</v>
          </cell>
        </row>
        <row r="434">
          <cell r="A434" t="str">
            <v>DICIEMBRE 1899</v>
          </cell>
          <cell r="F434">
            <v>0</v>
          </cell>
        </row>
        <row r="435">
          <cell r="A435" t="str">
            <v>DICIEMBRE 1899</v>
          </cell>
          <cell r="F435">
            <v>0</v>
          </cell>
        </row>
        <row r="436">
          <cell r="A436" t="str">
            <v>DICIEMBRE 1899</v>
          </cell>
          <cell r="F436">
            <v>0</v>
          </cell>
        </row>
        <row r="437">
          <cell r="A437" t="str">
            <v>DICIEMBRE 1899</v>
          </cell>
          <cell r="F437">
            <v>0</v>
          </cell>
        </row>
        <row r="438">
          <cell r="A438" t="str">
            <v>DICIEMBRE 1899</v>
          </cell>
          <cell r="F438">
            <v>0</v>
          </cell>
        </row>
        <row r="439">
          <cell r="A439" t="str">
            <v>DICIEMBRE 1899</v>
          </cell>
          <cell r="F439">
            <v>0</v>
          </cell>
        </row>
        <row r="440">
          <cell r="A440" t="str">
            <v>DICIEMBRE 1899</v>
          </cell>
          <cell r="F440">
            <v>0</v>
          </cell>
        </row>
        <row r="441">
          <cell r="A441" t="str">
            <v>DICIEMBRE 1899</v>
          </cell>
          <cell r="F441">
            <v>0</v>
          </cell>
        </row>
        <row r="442">
          <cell r="A442" t="str">
            <v>DICIEMBRE 1899</v>
          </cell>
          <cell r="F442">
            <v>0</v>
          </cell>
        </row>
        <row r="443">
          <cell r="A443" t="str">
            <v>DICIEMBRE 1899</v>
          </cell>
          <cell r="F443">
            <v>0</v>
          </cell>
        </row>
        <row r="444">
          <cell r="A444" t="str">
            <v>DICIEMBRE 1899</v>
          </cell>
          <cell r="F444">
            <v>0</v>
          </cell>
        </row>
        <row r="445">
          <cell r="A445" t="str">
            <v>DICIEMBRE 1899</v>
          </cell>
          <cell r="F445">
            <v>0</v>
          </cell>
        </row>
        <row r="446">
          <cell r="A446" t="str">
            <v>DICIEMBRE 1899</v>
          </cell>
          <cell r="F446">
            <v>0</v>
          </cell>
        </row>
        <row r="447">
          <cell r="A447" t="str">
            <v>DICIEMBRE 1899</v>
          </cell>
          <cell r="F447">
            <v>0</v>
          </cell>
        </row>
        <row r="448">
          <cell r="A448" t="str">
            <v>DICIEMBRE 1899</v>
          </cell>
          <cell r="F448">
            <v>0</v>
          </cell>
        </row>
        <row r="449">
          <cell r="A449" t="str">
            <v>DICIEMBRE 1899</v>
          </cell>
          <cell r="F449">
            <v>0</v>
          </cell>
        </row>
        <row r="450">
          <cell r="A450" t="str">
            <v>DICIEMBRE 1899</v>
          </cell>
          <cell r="F450">
            <v>0</v>
          </cell>
        </row>
        <row r="451">
          <cell r="A451" t="str">
            <v>DICIEMBRE 1899</v>
          </cell>
          <cell r="F451">
            <v>0</v>
          </cell>
        </row>
        <row r="452">
          <cell r="A452" t="str">
            <v>DICIEMBRE 1899</v>
          </cell>
          <cell r="F452">
            <v>0</v>
          </cell>
        </row>
        <row r="453">
          <cell r="A453" t="str">
            <v>DICIEMBRE 1899</v>
          </cell>
          <cell r="F453">
            <v>0</v>
          </cell>
        </row>
        <row r="454">
          <cell r="A454" t="str">
            <v>DICIEMBRE 1899</v>
          </cell>
          <cell r="F454">
            <v>0</v>
          </cell>
        </row>
        <row r="455">
          <cell r="A455" t="str">
            <v>DICIEMBRE 1899</v>
          </cell>
          <cell r="F455">
            <v>0</v>
          </cell>
        </row>
        <row r="456">
          <cell r="A456" t="str">
            <v>DICIEMBRE 1899</v>
          </cell>
          <cell r="F456">
            <v>0</v>
          </cell>
        </row>
        <row r="457">
          <cell r="A457" t="str">
            <v>DICIEMBRE 1899</v>
          </cell>
          <cell r="F457">
            <v>0</v>
          </cell>
        </row>
        <row r="458">
          <cell r="A458" t="str">
            <v>DICIEMBRE 1899</v>
          </cell>
          <cell r="F458">
            <v>0</v>
          </cell>
        </row>
        <row r="459">
          <cell r="A459" t="str">
            <v>DICIEMBRE 1899</v>
          </cell>
          <cell r="F459">
            <v>0</v>
          </cell>
        </row>
        <row r="460">
          <cell r="A460" t="str">
            <v>DICIEMBRE 1899</v>
          </cell>
          <cell r="F460">
            <v>0</v>
          </cell>
        </row>
        <row r="461">
          <cell r="A461" t="str">
            <v>DICIEMBRE 1899</v>
          </cell>
          <cell r="F461">
            <v>0</v>
          </cell>
        </row>
        <row r="462">
          <cell r="A462" t="str">
            <v>DICIEMBRE 1899</v>
          </cell>
          <cell r="F462">
            <v>0</v>
          </cell>
        </row>
        <row r="463">
          <cell r="A463" t="str">
            <v>DICIEMBRE 1899</v>
          </cell>
          <cell r="F463">
            <v>0</v>
          </cell>
        </row>
        <row r="464">
          <cell r="A464" t="str">
            <v>DICIEMBRE 1899</v>
          </cell>
          <cell r="F464">
            <v>0</v>
          </cell>
        </row>
        <row r="465">
          <cell r="A465" t="str">
            <v>DICIEMBRE 1899</v>
          </cell>
          <cell r="F465">
            <v>0</v>
          </cell>
        </row>
        <row r="466">
          <cell r="A466" t="str">
            <v>DICIEMBRE 1899</v>
          </cell>
          <cell r="F466">
            <v>0</v>
          </cell>
        </row>
        <row r="467">
          <cell r="A467" t="str">
            <v>DICIEMBRE 1899</v>
          </cell>
          <cell r="F467">
            <v>0</v>
          </cell>
        </row>
        <row r="468">
          <cell r="A468" t="str">
            <v>DICIEMBRE 1899</v>
          </cell>
          <cell r="F468">
            <v>0</v>
          </cell>
        </row>
        <row r="469">
          <cell r="A469" t="str">
            <v>DICIEMBRE 1899</v>
          </cell>
          <cell r="F469">
            <v>0</v>
          </cell>
        </row>
        <row r="470">
          <cell r="A470" t="str">
            <v>DICIEMBRE 1899</v>
          </cell>
          <cell r="F470">
            <v>0</v>
          </cell>
        </row>
        <row r="471">
          <cell r="A471" t="str">
            <v>DICIEMBRE 1899</v>
          </cell>
          <cell r="F471">
            <v>0</v>
          </cell>
        </row>
        <row r="472">
          <cell r="A472" t="str">
            <v>DICIEMBRE 1899</v>
          </cell>
          <cell r="F472">
            <v>0</v>
          </cell>
        </row>
        <row r="473">
          <cell r="A473" t="str">
            <v>DICIEMBRE 1899</v>
          </cell>
          <cell r="F473">
            <v>0</v>
          </cell>
        </row>
        <row r="474">
          <cell r="A474" t="str">
            <v>DICIEMBRE 1899</v>
          </cell>
          <cell r="F474">
            <v>0</v>
          </cell>
        </row>
        <row r="475">
          <cell r="A475" t="str">
            <v>DICIEMBRE 1899</v>
          </cell>
          <cell r="F475">
            <v>0</v>
          </cell>
        </row>
        <row r="476">
          <cell r="A476" t="str">
            <v>DICIEMBRE 1899</v>
          </cell>
          <cell r="F476">
            <v>0</v>
          </cell>
        </row>
        <row r="477">
          <cell r="A477" t="str">
            <v>DICIEMBRE 1899</v>
          </cell>
          <cell r="F477">
            <v>0</v>
          </cell>
        </row>
        <row r="478">
          <cell r="A478" t="str">
            <v>DICIEMBRE 1899</v>
          </cell>
          <cell r="F478">
            <v>0</v>
          </cell>
        </row>
        <row r="479">
          <cell r="A479" t="str">
            <v>DICIEMBRE 1899</v>
          </cell>
          <cell r="F479">
            <v>0</v>
          </cell>
        </row>
        <row r="480">
          <cell r="A480" t="str">
            <v>DICIEMBRE 1899</v>
          </cell>
          <cell r="F480">
            <v>0</v>
          </cell>
        </row>
        <row r="481">
          <cell r="A481" t="str">
            <v>DICIEMBRE 1899</v>
          </cell>
          <cell r="F481">
            <v>0</v>
          </cell>
        </row>
        <row r="482">
          <cell r="A482" t="str">
            <v>DICIEMBRE 1899</v>
          </cell>
          <cell r="F482">
            <v>0</v>
          </cell>
        </row>
        <row r="483">
          <cell r="A483" t="str">
            <v>DICIEMBRE 1899</v>
          </cell>
          <cell r="F483">
            <v>0</v>
          </cell>
        </row>
        <row r="484">
          <cell r="A484" t="str">
            <v>DICIEMBRE 1899</v>
          </cell>
          <cell r="F484">
            <v>0</v>
          </cell>
        </row>
        <row r="485">
          <cell r="A485" t="str">
            <v>DICIEMBRE 1899</v>
          </cell>
          <cell r="F485">
            <v>0</v>
          </cell>
        </row>
        <row r="486">
          <cell r="A486" t="str">
            <v>DICIEMBRE 1899</v>
          </cell>
          <cell r="F486">
            <v>0</v>
          </cell>
        </row>
        <row r="487">
          <cell r="A487" t="str">
            <v>DICIEMBRE 1899</v>
          </cell>
          <cell r="F487">
            <v>0</v>
          </cell>
        </row>
        <row r="488">
          <cell r="A488" t="str">
            <v>DICIEMBRE 1899</v>
          </cell>
          <cell r="F488">
            <v>0</v>
          </cell>
        </row>
        <row r="489">
          <cell r="A489" t="str">
            <v>DICIEMBRE 1899</v>
          </cell>
          <cell r="F489">
            <v>0</v>
          </cell>
        </row>
        <row r="490">
          <cell r="A490" t="str">
            <v>DICIEMBRE 1899</v>
          </cell>
          <cell r="F490">
            <v>0</v>
          </cell>
        </row>
        <row r="491">
          <cell r="A491" t="str">
            <v>DICIEMBRE 1899</v>
          </cell>
          <cell r="F491">
            <v>0</v>
          </cell>
        </row>
        <row r="492">
          <cell r="A492" t="str">
            <v>DICIEMBRE 1899</v>
          </cell>
          <cell r="F492">
            <v>0</v>
          </cell>
        </row>
        <row r="493">
          <cell r="A493" t="str">
            <v>DICIEMBRE 1899</v>
          </cell>
          <cell r="F493">
            <v>0</v>
          </cell>
        </row>
        <row r="494">
          <cell r="A494" t="str">
            <v>DICIEMBRE 1899</v>
          </cell>
          <cell r="F494">
            <v>0</v>
          </cell>
        </row>
        <row r="495">
          <cell r="A495" t="str">
            <v>DICIEMBRE 1899</v>
          </cell>
          <cell r="F495">
            <v>0</v>
          </cell>
        </row>
        <row r="496">
          <cell r="A496" t="str">
            <v>DICIEMBRE 1899</v>
          </cell>
          <cell r="F496">
            <v>0</v>
          </cell>
        </row>
        <row r="497">
          <cell r="A497" t="str">
            <v>DICIEMBRE 1899</v>
          </cell>
          <cell r="F497">
            <v>0</v>
          </cell>
        </row>
        <row r="498">
          <cell r="A498" t="str">
            <v>DICIEMBRE 1899</v>
          </cell>
          <cell r="F498">
            <v>0</v>
          </cell>
        </row>
        <row r="499">
          <cell r="A499" t="str">
            <v>DICIEMBRE 1899</v>
          </cell>
          <cell r="F499">
            <v>0</v>
          </cell>
        </row>
        <row r="500">
          <cell r="A500" t="str">
            <v>DICIEMBRE 1899</v>
          </cell>
          <cell r="F500">
            <v>0</v>
          </cell>
        </row>
        <row r="501">
          <cell r="A501" t="str">
            <v>DICIEMBRE 1899</v>
          </cell>
          <cell r="F501">
            <v>0</v>
          </cell>
        </row>
        <row r="502">
          <cell r="A502" t="str">
            <v>DICIEMBRE 1899</v>
          </cell>
          <cell r="F502">
            <v>0</v>
          </cell>
        </row>
        <row r="503">
          <cell r="A503" t="str">
            <v>DICIEMBRE 1899</v>
          </cell>
          <cell r="F503">
            <v>0</v>
          </cell>
        </row>
        <row r="504">
          <cell r="A504" t="str">
            <v>DICIEMBRE 1899</v>
          </cell>
          <cell r="F504">
            <v>0</v>
          </cell>
        </row>
        <row r="505">
          <cell r="A505" t="str">
            <v>DICIEMBRE 1899</v>
          </cell>
          <cell r="F505">
            <v>0</v>
          </cell>
        </row>
        <row r="506">
          <cell r="A506" t="str">
            <v>DICIEMBRE 1899</v>
          </cell>
          <cell r="F506">
            <v>0</v>
          </cell>
        </row>
        <row r="507">
          <cell r="A507" t="str">
            <v>DICIEMBRE 1899</v>
          </cell>
          <cell r="F507">
            <v>0</v>
          </cell>
        </row>
        <row r="508">
          <cell r="A508" t="str">
            <v>DICIEMBRE 1899</v>
          </cell>
          <cell r="F508">
            <v>0</v>
          </cell>
        </row>
        <row r="509">
          <cell r="A509" t="str">
            <v>DICIEMBRE 1899</v>
          </cell>
          <cell r="F509">
            <v>0</v>
          </cell>
        </row>
        <row r="510">
          <cell r="A510" t="str">
            <v>DICIEMBRE 1899</v>
          </cell>
          <cell r="F510">
            <v>0</v>
          </cell>
        </row>
        <row r="511">
          <cell r="A511" t="str">
            <v>DICIEMBRE 1899</v>
          </cell>
          <cell r="F511">
            <v>0</v>
          </cell>
        </row>
        <row r="512">
          <cell r="A512" t="str">
            <v>DICIEMBRE 1899</v>
          </cell>
          <cell r="F512">
            <v>0</v>
          </cell>
        </row>
        <row r="513">
          <cell r="A513" t="str">
            <v>DICIEMBRE 1899</v>
          </cell>
          <cell r="F513">
            <v>0</v>
          </cell>
        </row>
        <row r="514">
          <cell r="A514" t="str">
            <v>DICIEMBRE 1899</v>
          </cell>
          <cell r="F514">
            <v>0</v>
          </cell>
        </row>
        <row r="515">
          <cell r="A515" t="str">
            <v>DICIEMBRE 1899</v>
          </cell>
          <cell r="F515">
            <v>0</v>
          </cell>
        </row>
        <row r="516">
          <cell r="A516" t="str">
            <v>DICIEMBRE 1899</v>
          </cell>
          <cell r="F516">
            <v>0</v>
          </cell>
        </row>
        <row r="517">
          <cell r="A517" t="str">
            <v>DICIEMBRE 1899</v>
          </cell>
          <cell r="F517">
            <v>0</v>
          </cell>
        </row>
        <row r="518">
          <cell r="A518" t="str">
            <v>DICIEMBRE 1899</v>
          </cell>
          <cell r="F518">
            <v>0</v>
          </cell>
        </row>
        <row r="519">
          <cell r="A519" t="str">
            <v>DICIEMBRE 1899</v>
          </cell>
          <cell r="F519">
            <v>0</v>
          </cell>
        </row>
        <row r="520">
          <cell r="A520" t="str">
            <v>DICIEMBRE 1899</v>
          </cell>
          <cell r="F520">
            <v>0</v>
          </cell>
        </row>
        <row r="521">
          <cell r="A521" t="str">
            <v>DICIEMBRE 1899</v>
          </cell>
          <cell r="F521">
            <v>0</v>
          </cell>
        </row>
        <row r="522">
          <cell r="A522" t="str">
            <v>DICIEMBRE 1899</v>
          </cell>
          <cell r="F522">
            <v>0</v>
          </cell>
        </row>
        <row r="523">
          <cell r="A523" t="str">
            <v>DICIEMBRE 1899</v>
          </cell>
          <cell r="F523">
            <v>0</v>
          </cell>
        </row>
        <row r="524">
          <cell r="A524" t="str">
            <v>DICIEMBRE 1899</v>
          </cell>
          <cell r="F524">
            <v>0</v>
          </cell>
        </row>
        <row r="525">
          <cell r="A525" t="str">
            <v>DICIEMBRE 1899</v>
          </cell>
          <cell r="F525">
            <v>0</v>
          </cell>
        </row>
        <row r="526">
          <cell r="A526" t="str">
            <v>DICIEMBRE 1899</v>
          </cell>
          <cell r="F526">
            <v>0</v>
          </cell>
        </row>
        <row r="527">
          <cell r="A527" t="str">
            <v>DICIEMBRE 1899</v>
          </cell>
          <cell r="F527">
            <v>0</v>
          </cell>
        </row>
        <row r="528">
          <cell r="A528" t="str">
            <v>DICIEMBRE 1899</v>
          </cell>
          <cell r="F528">
            <v>0</v>
          </cell>
        </row>
        <row r="529">
          <cell r="A529" t="str">
            <v>DICIEMBRE 1899</v>
          </cell>
          <cell r="F529">
            <v>0</v>
          </cell>
        </row>
        <row r="530">
          <cell r="A530" t="str">
            <v>DICIEMBRE 1899</v>
          </cell>
          <cell r="F530">
            <v>0</v>
          </cell>
        </row>
        <row r="531">
          <cell r="A531" t="str">
            <v>DICIEMBRE 1899</v>
          </cell>
          <cell r="F531">
            <v>0</v>
          </cell>
        </row>
        <row r="532">
          <cell r="A532" t="str">
            <v>DICIEMBRE 1899</v>
          </cell>
          <cell r="F532">
            <v>0</v>
          </cell>
        </row>
        <row r="533">
          <cell r="A533" t="str">
            <v>DICIEMBRE 1899</v>
          </cell>
          <cell r="F533">
            <v>0</v>
          </cell>
        </row>
        <row r="534">
          <cell r="A534" t="str">
            <v>DICIEMBRE 1899</v>
          </cell>
          <cell r="F534">
            <v>0</v>
          </cell>
        </row>
        <row r="535">
          <cell r="A535" t="str">
            <v>DICIEMBRE 1899</v>
          </cell>
          <cell r="F535">
            <v>0</v>
          </cell>
        </row>
        <row r="536">
          <cell r="A536" t="str">
            <v>DICIEMBRE 1899</v>
          </cell>
          <cell r="F536">
            <v>0</v>
          </cell>
        </row>
        <row r="537">
          <cell r="A537" t="str">
            <v>DICIEMBRE 1899</v>
          </cell>
          <cell r="F537">
            <v>0</v>
          </cell>
        </row>
        <row r="538">
          <cell r="A538" t="str">
            <v>DICIEMBRE 1899</v>
          </cell>
          <cell r="F538">
            <v>0</v>
          </cell>
        </row>
        <row r="539">
          <cell r="A539" t="str">
            <v>DICIEMBRE 1899</v>
          </cell>
          <cell r="F539">
            <v>0</v>
          </cell>
        </row>
        <row r="540">
          <cell r="A540" t="str">
            <v>DICIEMBRE 1899</v>
          </cell>
          <cell r="F540">
            <v>0</v>
          </cell>
        </row>
        <row r="541">
          <cell r="A541" t="str">
            <v>DICIEMBRE 1899</v>
          </cell>
          <cell r="F541">
            <v>0</v>
          </cell>
        </row>
        <row r="542">
          <cell r="A542" t="str">
            <v>DICIEMBRE 1899</v>
          </cell>
          <cell r="F542">
            <v>0</v>
          </cell>
        </row>
        <row r="543">
          <cell r="A543" t="str">
            <v>DICIEMBRE 1899</v>
          </cell>
          <cell r="F543">
            <v>0</v>
          </cell>
        </row>
        <row r="544">
          <cell r="A544" t="str">
            <v>DICIEMBRE 1899</v>
          </cell>
          <cell r="F544">
            <v>0</v>
          </cell>
        </row>
        <row r="545">
          <cell r="A545" t="str">
            <v>DICIEMBRE 1899</v>
          </cell>
          <cell r="F545">
            <v>0</v>
          </cell>
        </row>
        <row r="546">
          <cell r="A546" t="str">
            <v>DICIEMBRE 1899</v>
          </cell>
          <cell r="F546">
            <v>0</v>
          </cell>
        </row>
        <row r="547">
          <cell r="A547" t="str">
            <v>DICIEMBRE 1899</v>
          </cell>
          <cell r="F547">
            <v>0</v>
          </cell>
        </row>
        <row r="548">
          <cell r="A548" t="str">
            <v>DICIEMBRE 1899</v>
          </cell>
          <cell r="F548">
            <v>0</v>
          </cell>
        </row>
        <row r="549">
          <cell r="A549" t="str">
            <v>DICIEMBRE 1899</v>
          </cell>
          <cell r="F549">
            <v>0</v>
          </cell>
        </row>
        <row r="550">
          <cell r="A550" t="str">
            <v>DICIEMBRE 1899</v>
          </cell>
          <cell r="F550">
            <v>0</v>
          </cell>
        </row>
        <row r="551">
          <cell r="A551" t="str">
            <v>DICIEMBRE 1899</v>
          </cell>
          <cell r="F551">
            <v>0</v>
          </cell>
        </row>
        <row r="552">
          <cell r="A552" t="str">
            <v>DICIEMBRE 1899</v>
          </cell>
          <cell r="F552">
            <v>0</v>
          </cell>
        </row>
        <row r="553">
          <cell r="A553" t="str">
            <v>DICIEMBRE 1899</v>
          </cell>
          <cell r="F553">
            <v>0</v>
          </cell>
        </row>
        <row r="554">
          <cell r="A554" t="str">
            <v>DICIEMBRE 1899</v>
          </cell>
          <cell r="F554">
            <v>0</v>
          </cell>
        </row>
        <row r="555">
          <cell r="A555" t="str">
            <v>DICIEMBRE 1899</v>
          </cell>
          <cell r="F555">
            <v>0</v>
          </cell>
        </row>
        <row r="556">
          <cell r="A556" t="str">
            <v>DICIEMBRE 1899</v>
          </cell>
          <cell r="F556">
            <v>0</v>
          </cell>
        </row>
        <row r="557">
          <cell r="A557" t="str">
            <v>DICIEMBRE 1899</v>
          </cell>
          <cell r="F557">
            <v>0</v>
          </cell>
        </row>
        <row r="558">
          <cell r="A558" t="str">
            <v>DICIEMBRE 1899</v>
          </cell>
          <cell r="F558">
            <v>0</v>
          </cell>
        </row>
        <row r="559">
          <cell r="A559" t="str">
            <v>DICIEMBRE 1899</v>
          </cell>
          <cell r="F559">
            <v>0</v>
          </cell>
        </row>
        <row r="560">
          <cell r="A560" t="str">
            <v>DICIEMBRE 1899</v>
          </cell>
          <cell r="F560">
            <v>0</v>
          </cell>
        </row>
        <row r="561">
          <cell r="A561" t="str">
            <v>DICIEMBRE 1899</v>
          </cell>
          <cell r="F561">
            <v>0</v>
          </cell>
        </row>
        <row r="562">
          <cell r="A562" t="str">
            <v>DICIEMBRE 1899</v>
          </cell>
          <cell r="F562">
            <v>0</v>
          </cell>
        </row>
        <row r="563">
          <cell r="A563" t="str">
            <v>DICIEMBRE 1899</v>
          </cell>
          <cell r="F563">
            <v>0</v>
          </cell>
        </row>
        <row r="564">
          <cell r="A564" t="str">
            <v>DICIEMBRE 1899</v>
          </cell>
          <cell r="F564">
            <v>0</v>
          </cell>
        </row>
        <row r="565">
          <cell r="A565" t="str">
            <v>DICIEMBRE 1899</v>
          </cell>
          <cell r="F565">
            <v>0</v>
          </cell>
        </row>
        <row r="566">
          <cell r="A566" t="str">
            <v>DICIEMBRE 1899</v>
          </cell>
          <cell r="F566">
            <v>0</v>
          </cell>
        </row>
        <row r="567">
          <cell r="A567" t="str">
            <v>DICIEMBRE 1899</v>
          </cell>
          <cell r="F567">
            <v>0</v>
          </cell>
        </row>
        <row r="568">
          <cell r="A568" t="str">
            <v>DICIEMBRE 1899</v>
          </cell>
          <cell r="F568">
            <v>0</v>
          </cell>
        </row>
        <row r="569">
          <cell r="A569" t="str">
            <v>DICIEMBRE 1899</v>
          </cell>
          <cell r="F569">
            <v>0</v>
          </cell>
        </row>
        <row r="570">
          <cell r="A570" t="str">
            <v>DICIEMBRE 1899</v>
          </cell>
          <cell r="F570">
            <v>0</v>
          </cell>
        </row>
        <row r="571">
          <cell r="A571" t="str">
            <v>DICIEMBRE 1899</v>
          </cell>
          <cell r="F571">
            <v>0</v>
          </cell>
        </row>
        <row r="572">
          <cell r="A572" t="str">
            <v>DICIEMBRE 1899</v>
          </cell>
          <cell r="F572">
            <v>0</v>
          </cell>
        </row>
        <row r="573">
          <cell r="A573" t="str">
            <v>DICIEMBRE 1899</v>
          </cell>
          <cell r="F573">
            <v>0</v>
          </cell>
        </row>
        <row r="574">
          <cell r="A574" t="str">
            <v>DICIEMBRE 1899</v>
          </cell>
          <cell r="F574">
            <v>0</v>
          </cell>
        </row>
        <row r="575">
          <cell r="A575" t="str">
            <v>DICIEMBRE 1899</v>
          </cell>
          <cell r="F575">
            <v>0</v>
          </cell>
        </row>
        <row r="576">
          <cell r="A576" t="str">
            <v>DICIEMBRE 1899</v>
          </cell>
          <cell r="F576">
            <v>0</v>
          </cell>
        </row>
        <row r="577">
          <cell r="A577" t="str">
            <v>DICIEMBRE 1899</v>
          </cell>
          <cell r="F577">
            <v>0</v>
          </cell>
        </row>
        <row r="578">
          <cell r="A578" t="str">
            <v>DICIEMBRE 1899</v>
          </cell>
          <cell r="F578">
            <v>0</v>
          </cell>
        </row>
        <row r="579">
          <cell r="A579" t="str">
            <v>DICIEMBRE 1899</v>
          </cell>
          <cell r="F579">
            <v>0</v>
          </cell>
        </row>
        <row r="580">
          <cell r="A580" t="str">
            <v>DICIEMBRE 1899</v>
          </cell>
          <cell r="F580">
            <v>0</v>
          </cell>
        </row>
        <row r="581">
          <cell r="A581" t="str">
            <v>DICIEMBRE 1899</v>
          </cell>
          <cell r="F581">
            <v>0</v>
          </cell>
        </row>
        <row r="582">
          <cell r="A582" t="str">
            <v>DICIEMBRE 1899</v>
          </cell>
          <cell r="F582">
            <v>0</v>
          </cell>
        </row>
        <row r="583">
          <cell r="A583" t="str">
            <v>DICIEMBRE 1899</v>
          </cell>
          <cell r="F583">
            <v>0</v>
          </cell>
        </row>
        <row r="584">
          <cell r="A584" t="str">
            <v>DICIEMBRE 1899</v>
          </cell>
          <cell r="F584">
            <v>0</v>
          </cell>
        </row>
        <row r="585">
          <cell r="A585" t="str">
            <v>DICIEMBRE 1899</v>
          </cell>
          <cell r="F585">
            <v>0</v>
          </cell>
        </row>
        <row r="586">
          <cell r="A586" t="str">
            <v>DICIEMBRE 1899</v>
          </cell>
          <cell r="F586">
            <v>0</v>
          </cell>
        </row>
        <row r="587">
          <cell r="A587" t="str">
            <v>DICIEMBRE 1899</v>
          </cell>
          <cell r="F587">
            <v>0</v>
          </cell>
        </row>
        <row r="588">
          <cell r="A588" t="str">
            <v>DICIEMBRE 1899</v>
          </cell>
          <cell r="F588">
            <v>0</v>
          </cell>
        </row>
        <row r="589">
          <cell r="A589" t="str">
            <v>DICIEMBRE 1899</v>
          </cell>
          <cell r="F589">
            <v>0</v>
          </cell>
        </row>
        <row r="590">
          <cell r="A590" t="str">
            <v>DICIEMBRE 1899</v>
          </cell>
          <cell r="F590">
            <v>0</v>
          </cell>
        </row>
        <row r="591">
          <cell r="A591" t="str">
            <v>DICIEMBRE 1899</v>
          </cell>
          <cell r="F591">
            <v>0</v>
          </cell>
        </row>
        <row r="592">
          <cell r="A592" t="str">
            <v>DICIEMBRE 1899</v>
          </cell>
          <cell r="F592">
            <v>0</v>
          </cell>
        </row>
        <row r="593">
          <cell r="A593" t="str">
            <v>DICIEMBRE 1899</v>
          </cell>
          <cell r="F593">
            <v>0</v>
          </cell>
        </row>
        <row r="594">
          <cell r="A594" t="str">
            <v>DICIEMBRE 1899</v>
          </cell>
          <cell r="F594">
            <v>0</v>
          </cell>
        </row>
        <row r="595">
          <cell r="A595" t="str">
            <v>DICIEMBRE 1899</v>
          </cell>
          <cell r="F595">
            <v>0</v>
          </cell>
        </row>
        <row r="596">
          <cell r="A596" t="str">
            <v>DICIEMBRE 1899</v>
          </cell>
          <cell r="F596">
            <v>0</v>
          </cell>
        </row>
        <row r="597">
          <cell r="A597" t="str">
            <v>DICIEMBRE 1899</v>
          </cell>
          <cell r="F597">
            <v>0</v>
          </cell>
        </row>
        <row r="598">
          <cell r="A598" t="str">
            <v>DICIEMBRE 1899</v>
          </cell>
          <cell r="F598">
            <v>0</v>
          </cell>
        </row>
        <row r="599">
          <cell r="A599" t="str">
            <v>DICIEMBRE 1899</v>
          </cell>
          <cell r="F599">
            <v>0</v>
          </cell>
        </row>
        <row r="600">
          <cell r="A600" t="str">
            <v>DICIEMBRE 1899</v>
          </cell>
          <cell r="F600">
            <v>0</v>
          </cell>
        </row>
        <row r="601">
          <cell r="A601" t="str">
            <v>DICIEMBRE 1899</v>
          </cell>
          <cell r="F601">
            <v>0</v>
          </cell>
        </row>
        <row r="602">
          <cell r="A602" t="str">
            <v>DICIEMBRE 1899</v>
          </cell>
          <cell r="F602">
            <v>0</v>
          </cell>
        </row>
        <row r="603">
          <cell r="A603" t="str">
            <v>DICIEMBRE 1899</v>
          </cell>
          <cell r="F603">
            <v>0</v>
          </cell>
        </row>
        <row r="604">
          <cell r="A604" t="str">
            <v>DICIEMBRE 1899</v>
          </cell>
          <cell r="F604">
            <v>0</v>
          </cell>
        </row>
        <row r="605">
          <cell r="A605" t="str">
            <v>DICIEMBRE 1899</v>
          </cell>
          <cell r="F605">
            <v>0</v>
          </cell>
        </row>
        <row r="606">
          <cell r="A606" t="str">
            <v>DICIEMBRE 1899</v>
          </cell>
          <cell r="F606">
            <v>0</v>
          </cell>
        </row>
        <row r="607">
          <cell r="A607" t="str">
            <v>DICIEMBRE 1899</v>
          </cell>
          <cell r="F607">
            <v>0</v>
          </cell>
        </row>
        <row r="608">
          <cell r="A608" t="str">
            <v>DICIEMBRE 1899</v>
          </cell>
          <cell r="F608">
            <v>0</v>
          </cell>
        </row>
        <row r="609">
          <cell r="A609" t="str">
            <v>DICIEMBRE 1899</v>
          </cell>
          <cell r="F609">
            <v>0</v>
          </cell>
        </row>
        <row r="610">
          <cell r="A610" t="str">
            <v>DICIEMBRE 1899</v>
          </cell>
          <cell r="F610">
            <v>0</v>
          </cell>
        </row>
        <row r="611">
          <cell r="A611" t="str">
            <v>DICIEMBRE 1899</v>
          </cell>
          <cell r="F611">
            <v>0</v>
          </cell>
        </row>
        <row r="612">
          <cell r="A612" t="str">
            <v>DICIEMBRE 1899</v>
          </cell>
          <cell r="F612">
            <v>0</v>
          </cell>
        </row>
        <row r="613">
          <cell r="A613" t="str">
            <v>DICIEMBRE 1899</v>
          </cell>
          <cell r="F613">
            <v>0</v>
          </cell>
        </row>
        <row r="614">
          <cell r="A614" t="str">
            <v>DICIEMBRE 1899</v>
          </cell>
          <cell r="F614">
            <v>0</v>
          </cell>
        </row>
        <row r="615">
          <cell r="A615" t="str">
            <v>DICIEMBRE 1899</v>
          </cell>
          <cell r="F615">
            <v>0</v>
          </cell>
        </row>
        <row r="616">
          <cell r="A616" t="str">
            <v>DICIEMBRE 1899</v>
          </cell>
          <cell r="F616">
            <v>0</v>
          </cell>
        </row>
        <row r="617">
          <cell r="A617" t="str">
            <v>DICIEMBRE 1899</v>
          </cell>
          <cell r="F617">
            <v>0</v>
          </cell>
        </row>
        <row r="618">
          <cell r="A618" t="str">
            <v>DICIEMBRE 1899</v>
          </cell>
          <cell r="F618">
            <v>0</v>
          </cell>
        </row>
        <row r="619">
          <cell r="A619" t="str">
            <v>DICIEMBRE 1899</v>
          </cell>
          <cell r="F619">
            <v>0</v>
          </cell>
        </row>
        <row r="620">
          <cell r="A620" t="str">
            <v>DICIEMBRE 1899</v>
          </cell>
          <cell r="F620">
            <v>0</v>
          </cell>
        </row>
        <row r="621">
          <cell r="A621" t="str">
            <v>DICIEMBRE 1899</v>
          </cell>
          <cell r="F621">
            <v>0</v>
          </cell>
        </row>
        <row r="622">
          <cell r="A622" t="str">
            <v>DICIEMBRE 1899</v>
          </cell>
          <cell r="F622">
            <v>0</v>
          </cell>
        </row>
        <row r="623">
          <cell r="A623" t="str">
            <v>DICIEMBRE 1899</v>
          </cell>
          <cell r="F623">
            <v>0</v>
          </cell>
        </row>
        <row r="624">
          <cell r="A624" t="str">
            <v>DICIEMBRE 1899</v>
          </cell>
          <cell r="F624">
            <v>0</v>
          </cell>
        </row>
        <row r="625">
          <cell r="A625" t="str">
            <v>DICIEMBRE 1899</v>
          </cell>
          <cell r="F625">
            <v>0</v>
          </cell>
        </row>
        <row r="626">
          <cell r="A626" t="str">
            <v>DICIEMBRE 1899</v>
          </cell>
          <cell r="F626">
            <v>0</v>
          </cell>
        </row>
        <row r="627">
          <cell r="A627" t="str">
            <v>DICIEMBRE 1899</v>
          </cell>
          <cell r="F627">
            <v>0</v>
          </cell>
        </row>
        <row r="628">
          <cell r="A628" t="str">
            <v>DICIEMBRE 1899</v>
          </cell>
          <cell r="F628">
            <v>0</v>
          </cell>
        </row>
        <row r="629">
          <cell r="A629" t="str">
            <v>DICIEMBRE 1899</v>
          </cell>
          <cell r="F629">
            <v>0</v>
          </cell>
        </row>
        <row r="630">
          <cell r="A630" t="str">
            <v>DICIEMBRE 1899</v>
          </cell>
          <cell r="F630">
            <v>0</v>
          </cell>
        </row>
        <row r="631">
          <cell r="A631" t="str">
            <v>DICIEMBRE 1899</v>
          </cell>
          <cell r="F631">
            <v>0</v>
          </cell>
        </row>
        <row r="632">
          <cell r="A632" t="str">
            <v>DICIEMBRE 1899</v>
          </cell>
          <cell r="F632">
            <v>0</v>
          </cell>
        </row>
        <row r="633">
          <cell r="A633" t="str">
            <v>DICIEMBRE 1899</v>
          </cell>
          <cell r="F633">
            <v>0</v>
          </cell>
        </row>
        <row r="634">
          <cell r="A634" t="str">
            <v>DICIEMBRE 1899</v>
          </cell>
          <cell r="F634">
            <v>0</v>
          </cell>
        </row>
        <row r="635">
          <cell r="A635" t="str">
            <v>DICIEMBRE 1899</v>
          </cell>
          <cell r="F635">
            <v>0</v>
          </cell>
        </row>
        <row r="636">
          <cell r="A636" t="str">
            <v>DICIEMBRE 1899</v>
          </cell>
          <cell r="F636">
            <v>0</v>
          </cell>
        </row>
        <row r="637">
          <cell r="A637" t="str">
            <v>DICIEMBRE 1899</v>
          </cell>
          <cell r="F637">
            <v>0</v>
          </cell>
        </row>
        <row r="638">
          <cell r="A638" t="str">
            <v>DICIEMBRE 1899</v>
          </cell>
          <cell r="F638">
            <v>0</v>
          </cell>
        </row>
        <row r="639">
          <cell r="A639" t="str">
            <v>DICIEMBRE 1899</v>
          </cell>
          <cell r="F639">
            <v>0</v>
          </cell>
        </row>
        <row r="640">
          <cell r="A640" t="str">
            <v>DICIEMBRE 1899</v>
          </cell>
          <cell r="F640">
            <v>0</v>
          </cell>
        </row>
        <row r="641">
          <cell r="A641" t="str">
            <v>DICIEMBRE 1899</v>
          </cell>
          <cell r="F641">
            <v>0</v>
          </cell>
        </row>
        <row r="642">
          <cell r="A642" t="str">
            <v>DICIEMBRE 1899</v>
          </cell>
          <cell r="F642">
            <v>0</v>
          </cell>
        </row>
        <row r="643">
          <cell r="A643" t="str">
            <v>DICIEMBRE 1899</v>
          </cell>
          <cell r="F643">
            <v>0</v>
          </cell>
        </row>
        <row r="644">
          <cell r="A644" t="str">
            <v>DICIEMBRE 1899</v>
          </cell>
          <cell r="F644">
            <v>0</v>
          </cell>
        </row>
        <row r="645">
          <cell r="A645" t="str">
            <v>DICIEMBRE 1899</v>
          </cell>
          <cell r="F645">
            <v>0</v>
          </cell>
        </row>
        <row r="646">
          <cell r="A646" t="str">
            <v>DICIEMBRE 1899</v>
          </cell>
          <cell r="F646">
            <v>0</v>
          </cell>
        </row>
        <row r="647">
          <cell r="A647" t="str">
            <v>DICIEMBRE 1899</v>
          </cell>
          <cell r="F647">
            <v>0</v>
          </cell>
        </row>
        <row r="648">
          <cell r="A648" t="str">
            <v>DICIEMBRE 1899</v>
          </cell>
          <cell r="F648">
            <v>0</v>
          </cell>
        </row>
        <row r="649">
          <cell r="A649" t="str">
            <v>DICIEMBRE 1899</v>
          </cell>
          <cell r="F649">
            <v>0</v>
          </cell>
        </row>
        <row r="650">
          <cell r="A650" t="str">
            <v>DICIEMBRE 1899</v>
          </cell>
          <cell r="F650">
            <v>0</v>
          </cell>
        </row>
        <row r="651">
          <cell r="A651" t="str">
            <v>DICIEMBRE 1899</v>
          </cell>
          <cell r="F651">
            <v>0</v>
          </cell>
        </row>
        <row r="652">
          <cell r="A652" t="str">
            <v>DICIEMBRE 1899</v>
          </cell>
          <cell r="F652">
            <v>0</v>
          </cell>
        </row>
        <row r="653">
          <cell r="A653" t="str">
            <v>DICIEMBRE 1899</v>
          </cell>
          <cell r="F653">
            <v>0</v>
          </cell>
        </row>
        <row r="654">
          <cell r="A654" t="str">
            <v>DICIEMBRE 1899</v>
          </cell>
          <cell r="F654">
            <v>0</v>
          </cell>
        </row>
        <row r="655">
          <cell r="A655" t="str">
            <v>DICIEMBRE 1899</v>
          </cell>
          <cell r="F655">
            <v>0</v>
          </cell>
        </row>
        <row r="656">
          <cell r="A656" t="str">
            <v>DICIEMBRE 1899</v>
          </cell>
          <cell r="F656">
            <v>0</v>
          </cell>
        </row>
        <row r="657">
          <cell r="A657" t="str">
            <v>DICIEMBRE 1899</v>
          </cell>
          <cell r="F657">
            <v>0</v>
          </cell>
        </row>
        <row r="658">
          <cell r="A658" t="str">
            <v>DICIEMBRE 1899</v>
          </cell>
          <cell r="F658">
            <v>0</v>
          </cell>
        </row>
        <row r="659">
          <cell r="A659" t="str">
            <v>DICIEMBRE 1899</v>
          </cell>
          <cell r="F659">
            <v>0</v>
          </cell>
        </row>
        <row r="660">
          <cell r="A660" t="str">
            <v>DICIEMBRE 1899</v>
          </cell>
          <cell r="F660">
            <v>0</v>
          </cell>
        </row>
        <row r="661">
          <cell r="A661" t="str">
            <v>DICIEMBRE 1899</v>
          </cell>
          <cell r="F661">
            <v>0</v>
          </cell>
        </row>
        <row r="662">
          <cell r="A662" t="str">
            <v>DICIEMBRE 1899</v>
          </cell>
          <cell r="F662">
            <v>0</v>
          </cell>
        </row>
        <row r="663">
          <cell r="A663" t="str">
            <v>DICIEMBRE 1899</v>
          </cell>
          <cell r="F663">
            <v>0</v>
          </cell>
        </row>
        <row r="664">
          <cell r="A664" t="str">
            <v>DICIEMBRE 1899</v>
          </cell>
          <cell r="F664">
            <v>0</v>
          </cell>
        </row>
        <row r="665">
          <cell r="A665" t="str">
            <v>DICIEMBRE 1899</v>
          </cell>
          <cell r="F665">
            <v>0</v>
          </cell>
        </row>
        <row r="666">
          <cell r="A666" t="str">
            <v>DICIEMBRE 1899</v>
          </cell>
          <cell r="F666">
            <v>0</v>
          </cell>
        </row>
        <row r="667">
          <cell r="A667" t="str">
            <v>DICIEMBRE 1899</v>
          </cell>
          <cell r="F667">
            <v>0</v>
          </cell>
        </row>
        <row r="668">
          <cell r="A668" t="str">
            <v>DICIEMBRE 1899</v>
          </cell>
          <cell r="F668">
            <v>0</v>
          </cell>
        </row>
        <row r="669">
          <cell r="A669" t="str">
            <v>DICIEMBRE 1899</v>
          </cell>
          <cell r="F669">
            <v>0</v>
          </cell>
        </row>
        <row r="670">
          <cell r="A670" t="str">
            <v>DICIEMBRE 1899</v>
          </cell>
          <cell r="F670">
            <v>0</v>
          </cell>
        </row>
        <row r="671">
          <cell r="A671" t="str">
            <v>DICIEMBRE 1899</v>
          </cell>
          <cell r="F671">
            <v>0</v>
          </cell>
        </row>
        <row r="672">
          <cell r="A672" t="str">
            <v>DICIEMBRE 1899</v>
          </cell>
          <cell r="F672">
            <v>0</v>
          </cell>
        </row>
        <row r="673">
          <cell r="A673" t="str">
            <v>DICIEMBRE 1899</v>
          </cell>
          <cell r="F673">
            <v>0</v>
          </cell>
        </row>
        <row r="674">
          <cell r="A674" t="str">
            <v>DICIEMBRE 1899</v>
          </cell>
          <cell r="F674">
            <v>0</v>
          </cell>
        </row>
        <row r="675">
          <cell r="A675" t="str">
            <v>DICIEMBRE 1899</v>
          </cell>
          <cell r="F675">
            <v>0</v>
          </cell>
        </row>
        <row r="676">
          <cell r="A676" t="str">
            <v>DICIEMBRE 1899</v>
          </cell>
          <cell r="F676">
            <v>0</v>
          </cell>
        </row>
        <row r="677">
          <cell r="A677" t="str">
            <v>DICIEMBRE 1899</v>
          </cell>
          <cell r="F677">
            <v>0</v>
          </cell>
        </row>
        <row r="678">
          <cell r="A678" t="str">
            <v>DICIEMBRE 1899</v>
          </cell>
          <cell r="F678">
            <v>0</v>
          </cell>
        </row>
        <row r="679">
          <cell r="A679" t="str">
            <v>DICIEMBRE 1899</v>
          </cell>
          <cell r="F679">
            <v>0</v>
          </cell>
        </row>
        <row r="680">
          <cell r="A680" t="str">
            <v>DICIEMBRE 1899</v>
          </cell>
          <cell r="F680">
            <v>0</v>
          </cell>
        </row>
        <row r="681">
          <cell r="A681" t="str">
            <v>DICIEMBRE 1899</v>
          </cell>
          <cell r="F681">
            <v>0</v>
          </cell>
        </row>
        <row r="682">
          <cell r="A682" t="str">
            <v>DICIEMBRE 1899</v>
          </cell>
          <cell r="F682">
            <v>0</v>
          </cell>
        </row>
        <row r="683">
          <cell r="A683" t="str">
            <v>DICIEMBRE 1899</v>
          </cell>
          <cell r="F683">
            <v>0</v>
          </cell>
        </row>
        <row r="684">
          <cell r="A684" t="str">
            <v>DICIEMBRE 1899</v>
          </cell>
          <cell r="F684">
            <v>0</v>
          </cell>
        </row>
        <row r="685">
          <cell r="A685" t="str">
            <v>DICIEMBRE 1899</v>
          </cell>
          <cell r="F685">
            <v>0</v>
          </cell>
        </row>
        <row r="686">
          <cell r="A686" t="str">
            <v>DICIEMBRE 1899</v>
          </cell>
          <cell r="F686">
            <v>0</v>
          </cell>
        </row>
        <row r="687">
          <cell r="A687" t="str">
            <v>DICIEMBRE 1899</v>
          </cell>
          <cell r="F687">
            <v>0</v>
          </cell>
        </row>
        <row r="688">
          <cell r="A688" t="str">
            <v>DICIEMBRE 1899</v>
          </cell>
          <cell r="F688">
            <v>0</v>
          </cell>
        </row>
        <row r="689">
          <cell r="A689" t="str">
            <v>DICIEMBRE 1899</v>
          </cell>
          <cell r="F689">
            <v>0</v>
          </cell>
        </row>
        <row r="690">
          <cell r="A690" t="str">
            <v>DICIEMBRE 1899</v>
          </cell>
          <cell r="F690">
            <v>0</v>
          </cell>
        </row>
        <row r="691">
          <cell r="A691" t="str">
            <v>DICIEMBRE 1899</v>
          </cell>
          <cell r="F691">
            <v>0</v>
          </cell>
        </row>
        <row r="692">
          <cell r="A692" t="str">
            <v>DICIEMBRE 1899</v>
          </cell>
          <cell r="F692">
            <v>0</v>
          </cell>
        </row>
        <row r="693">
          <cell r="A693" t="str">
            <v>DICIEMBRE 1899</v>
          </cell>
          <cell r="F693">
            <v>0</v>
          </cell>
        </row>
        <row r="694">
          <cell r="A694" t="str">
            <v>DICIEMBRE 1899</v>
          </cell>
          <cell r="F694">
            <v>0</v>
          </cell>
        </row>
        <row r="695">
          <cell r="A695" t="str">
            <v>DICIEMBRE 1899</v>
          </cell>
          <cell r="F695">
            <v>0</v>
          </cell>
        </row>
        <row r="696">
          <cell r="A696" t="str">
            <v>DICIEMBRE 1899</v>
          </cell>
          <cell r="F696">
            <v>0</v>
          </cell>
        </row>
        <row r="697">
          <cell r="A697" t="str">
            <v>DICIEMBRE 1899</v>
          </cell>
          <cell r="F697">
            <v>0</v>
          </cell>
        </row>
        <row r="698">
          <cell r="A698" t="str">
            <v>DICIEMBRE 1899</v>
          </cell>
          <cell r="F698">
            <v>0</v>
          </cell>
        </row>
        <row r="699">
          <cell r="A699" t="str">
            <v>DICIEMBRE 1899</v>
          </cell>
          <cell r="F699">
            <v>0</v>
          </cell>
        </row>
        <row r="700">
          <cell r="A700" t="str">
            <v>DICIEMBRE 1899</v>
          </cell>
          <cell r="F700">
            <v>0</v>
          </cell>
        </row>
        <row r="701">
          <cell r="A701" t="str">
            <v>DICIEMBRE 1899</v>
          </cell>
          <cell r="F701">
            <v>0</v>
          </cell>
        </row>
        <row r="702">
          <cell r="A702" t="str">
            <v>DICIEMBRE 1899</v>
          </cell>
          <cell r="F702">
            <v>0</v>
          </cell>
        </row>
        <row r="703">
          <cell r="A703" t="str">
            <v>DICIEMBRE 1899</v>
          </cell>
          <cell r="F703">
            <v>0</v>
          </cell>
        </row>
        <row r="704">
          <cell r="A704" t="str">
            <v>DICIEMBRE 1899</v>
          </cell>
          <cell r="F704">
            <v>0</v>
          </cell>
        </row>
        <row r="705">
          <cell r="A705" t="str">
            <v>DICIEMBRE 1899</v>
          </cell>
          <cell r="F705">
            <v>0</v>
          </cell>
        </row>
        <row r="706">
          <cell r="A706" t="str">
            <v>DICIEMBRE 1899</v>
          </cell>
          <cell r="F706">
            <v>0</v>
          </cell>
        </row>
        <row r="707">
          <cell r="A707" t="str">
            <v>DICIEMBRE 1899</v>
          </cell>
          <cell r="F707">
            <v>0</v>
          </cell>
        </row>
        <row r="708">
          <cell r="A708" t="str">
            <v>DICIEMBRE 1899</v>
          </cell>
          <cell r="F708">
            <v>0</v>
          </cell>
        </row>
        <row r="709">
          <cell r="A709" t="str">
            <v>DICIEMBRE 1899</v>
          </cell>
          <cell r="F709">
            <v>0</v>
          </cell>
        </row>
        <row r="710">
          <cell r="A710" t="str">
            <v>DICIEMBRE 1899</v>
          </cell>
          <cell r="F710">
            <v>0</v>
          </cell>
        </row>
        <row r="711">
          <cell r="A711" t="str">
            <v>DICIEMBRE 1899</v>
          </cell>
          <cell r="F711">
            <v>0</v>
          </cell>
        </row>
        <row r="712">
          <cell r="A712" t="str">
            <v>DICIEMBRE 1899</v>
          </cell>
          <cell r="F712">
            <v>0</v>
          </cell>
        </row>
        <row r="713">
          <cell r="A713" t="str">
            <v>DICIEMBRE 1899</v>
          </cell>
          <cell r="F713">
            <v>0</v>
          </cell>
        </row>
        <row r="714">
          <cell r="A714" t="str">
            <v>DICIEMBRE 1899</v>
          </cell>
          <cell r="F714">
            <v>0</v>
          </cell>
        </row>
        <row r="715">
          <cell r="A715" t="str">
            <v>DICIEMBRE 1899</v>
          </cell>
          <cell r="F715">
            <v>0</v>
          </cell>
        </row>
        <row r="716">
          <cell r="A716" t="str">
            <v>DICIEMBRE 1899</v>
          </cell>
          <cell r="F716">
            <v>0</v>
          </cell>
        </row>
        <row r="717">
          <cell r="A717" t="str">
            <v>DICIEMBRE 1899</v>
          </cell>
          <cell r="F717">
            <v>0</v>
          </cell>
        </row>
        <row r="718">
          <cell r="A718" t="str">
            <v>DICIEMBRE 1899</v>
          </cell>
          <cell r="F718">
            <v>0</v>
          </cell>
        </row>
        <row r="719">
          <cell r="A719" t="str">
            <v>DICIEMBRE 1899</v>
          </cell>
          <cell r="F719">
            <v>0</v>
          </cell>
        </row>
        <row r="720">
          <cell r="A720" t="str">
            <v>DICIEMBRE 1899</v>
          </cell>
          <cell r="F720">
            <v>0</v>
          </cell>
        </row>
        <row r="721">
          <cell r="A721" t="str">
            <v>DICIEMBRE 1899</v>
          </cell>
          <cell r="F721">
            <v>0</v>
          </cell>
        </row>
        <row r="722">
          <cell r="A722" t="str">
            <v>DICIEMBRE 1899</v>
          </cell>
          <cell r="F722">
            <v>0</v>
          </cell>
        </row>
        <row r="723">
          <cell r="A723" t="str">
            <v>DICIEMBRE 1899</v>
          </cell>
          <cell r="F723">
            <v>0</v>
          </cell>
        </row>
        <row r="724">
          <cell r="A724" t="str">
            <v>DICIEMBRE 1899</v>
          </cell>
          <cell r="F724">
            <v>0</v>
          </cell>
        </row>
        <row r="725">
          <cell r="A725" t="str">
            <v>DICIEMBRE 1899</v>
          </cell>
          <cell r="F725">
            <v>0</v>
          </cell>
        </row>
        <row r="726">
          <cell r="A726" t="str">
            <v>DICIEMBRE 1899</v>
          </cell>
          <cell r="F726">
            <v>0</v>
          </cell>
        </row>
        <row r="727">
          <cell r="A727" t="str">
            <v>DICIEMBRE 1899</v>
          </cell>
          <cell r="F727">
            <v>0</v>
          </cell>
        </row>
        <row r="728">
          <cell r="A728" t="str">
            <v>DICIEMBRE 1899</v>
          </cell>
          <cell r="F728">
            <v>0</v>
          </cell>
        </row>
        <row r="729">
          <cell r="A729" t="str">
            <v>DICIEMBRE 1899</v>
          </cell>
          <cell r="F729">
            <v>0</v>
          </cell>
        </row>
        <row r="730">
          <cell r="A730" t="str">
            <v>DICIEMBRE 1899</v>
          </cell>
          <cell r="F730">
            <v>0</v>
          </cell>
        </row>
        <row r="731">
          <cell r="A731" t="str">
            <v>DICIEMBRE 1899</v>
          </cell>
          <cell r="F731">
            <v>0</v>
          </cell>
        </row>
        <row r="732">
          <cell r="A732" t="str">
            <v>DICIEMBRE 1899</v>
          </cell>
          <cell r="F732">
            <v>0</v>
          </cell>
        </row>
        <row r="733">
          <cell r="A733" t="str">
            <v>DICIEMBRE 1899</v>
          </cell>
          <cell r="F733">
            <v>0</v>
          </cell>
        </row>
        <row r="734">
          <cell r="A734" t="str">
            <v>DICIEMBRE 1899</v>
          </cell>
          <cell r="F734">
            <v>0</v>
          </cell>
        </row>
        <row r="735">
          <cell r="A735" t="str">
            <v>DICIEMBRE 1899</v>
          </cell>
          <cell r="F735">
            <v>0</v>
          </cell>
        </row>
        <row r="736">
          <cell r="A736" t="str">
            <v>DICIEMBRE 1899</v>
          </cell>
          <cell r="F736">
            <v>0</v>
          </cell>
        </row>
        <row r="737">
          <cell r="A737" t="str">
            <v>DICIEMBRE 1899</v>
          </cell>
          <cell r="F737">
            <v>0</v>
          </cell>
        </row>
        <row r="738">
          <cell r="A738" t="str">
            <v>DICIEMBRE 1899</v>
          </cell>
          <cell r="F738">
            <v>0</v>
          </cell>
        </row>
        <row r="739">
          <cell r="A739" t="str">
            <v>DICIEMBRE 1899</v>
          </cell>
          <cell r="F739">
            <v>0</v>
          </cell>
        </row>
        <row r="740">
          <cell r="A740" t="str">
            <v>DICIEMBRE 1899</v>
          </cell>
          <cell r="F740">
            <v>0</v>
          </cell>
        </row>
        <row r="741">
          <cell r="A741" t="str">
            <v>DICIEMBRE 1899</v>
          </cell>
          <cell r="F741">
            <v>0</v>
          </cell>
        </row>
        <row r="742">
          <cell r="A742" t="str">
            <v>DICIEMBRE 1899</v>
          </cell>
          <cell r="F742">
            <v>0</v>
          </cell>
        </row>
        <row r="743">
          <cell r="A743" t="str">
            <v>DICIEMBRE 1899</v>
          </cell>
          <cell r="F743">
            <v>0</v>
          </cell>
        </row>
        <row r="744">
          <cell r="A744" t="str">
            <v>DICIEMBRE 1899</v>
          </cell>
          <cell r="F744">
            <v>0</v>
          </cell>
        </row>
        <row r="745">
          <cell r="A745" t="str">
            <v>DICIEMBRE 1899</v>
          </cell>
          <cell r="F745">
            <v>0</v>
          </cell>
        </row>
        <row r="746">
          <cell r="A746" t="str">
            <v>DICIEMBRE 1899</v>
          </cell>
          <cell r="F746">
            <v>0</v>
          </cell>
        </row>
        <row r="747">
          <cell r="A747" t="str">
            <v>DICIEMBRE 1899</v>
          </cell>
          <cell r="F747">
            <v>0</v>
          </cell>
        </row>
        <row r="748">
          <cell r="A748" t="str">
            <v>DICIEMBRE 1899</v>
          </cell>
          <cell r="F748">
            <v>0</v>
          </cell>
        </row>
        <row r="749">
          <cell r="A749" t="str">
            <v>DICIEMBRE 1899</v>
          </cell>
          <cell r="F749">
            <v>0</v>
          </cell>
        </row>
        <row r="750">
          <cell r="A750" t="str">
            <v>DICIEMBRE 1899</v>
          </cell>
          <cell r="F750">
            <v>0</v>
          </cell>
        </row>
        <row r="751">
          <cell r="A751" t="str">
            <v>DICIEMBRE 1899</v>
          </cell>
          <cell r="F751">
            <v>0</v>
          </cell>
        </row>
        <row r="752">
          <cell r="A752" t="str">
            <v>DICIEMBRE 1899</v>
          </cell>
          <cell r="F752">
            <v>0</v>
          </cell>
        </row>
        <row r="753">
          <cell r="A753" t="str">
            <v>DICIEMBRE 1899</v>
          </cell>
          <cell r="F753">
            <v>0</v>
          </cell>
        </row>
        <row r="754">
          <cell r="A754" t="str">
            <v>DICIEMBRE 1899</v>
          </cell>
          <cell r="F754">
            <v>0</v>
          </cell>
        </row>
        <row r="755">
          <cell r="A755" t="str">
            <v>DICIEMBRE 1899</v>
          </cell>
          <cell r="F755">
            <v>0</v>
          </cell>
        </row>
        <row r="756">
          <cell r="A756" t="str">
            <v>DICIEMBRE 1899</v>
          </cell>
          <cell r="F756">
            <v>0</v>
          </cell>
        </row>
        <row r="757">
          <cell r="A757" t="str">
            <v>DICIEMBRE 1899</v>
          </cell>
          <cell r="F757">
            <v>0</v>
          </cell>
        </row>
        <row r="758">
          <cell r="A758" t="str">
            <v>DICIEMBRE 1899</v>
          </cell>
          <cell r="F758">
            <v>0</v>
          </cell>
        </row>
        <row r="759">
          <cell r="A759" t="str">
            <v>DICIEMBRE 1899</v>
          </cell>
          <cell r="F759">
            <v>0</v>
          </cell>
        </row>
        <row r="760">
          <cell r="A760" t="str">
            <v>DICIEMBRE 1899</v>
          </cell>
          <cell r="F760">
            <v>0</v>
          </cell>
        </row>
        <row r="761">
          <cell r="A761" t="str">
            <v>DICIEMBRE 1899</v>
          </cell>
          <cell r="F761">
            <v>0</v>
          </cell>
        </row>
        <row r="762">
          <cell r="A762" t="str">
            <v>DICIEMBRE 1899</v>
          </cell>
          <cell r="F762">
            <v>0</v>
          </cell>
        </row>
        <row r="763">
          <cell r="A763" t="str">
            <v>DICIEMBRE 1899</v>
          </cell>
          <cell r="F763">
            <v>0</v>
          </cell>
        </row>
        <row r="764">
          <cell r="A764" t="str">
            <v>DICIEMBRE 1899</v>
          </cell>
          <cell r="F764">
            <v>0</v>
          </cell>
        </row>
        <row r="765">
          <cell r="A765" t="str">
            <v>DICIEMBRE 1899</v>
          </cell>
          <cell r="F765">
            <v>0</v>
          </cell>
        </row>
        <row r="766">
          <cell r="A766" t="str">
            <v>DICIEMBRE 1899</v>
          </cell>
          <cell r="F766">
            <v>0</v>
          </cell>
        </row>
        <row r="767">
          <cell r="A767" t="str">
            <v>DICIEMBRE 1899</v>
          </cell>
          <cell r="F767">
            <v>0</v>
          </cell>
        </row>
        <row r="768">
          <cell r="A768" t="str">
            <v>DICIEMBRE 1899</v>
          </cell>
          <cell r="F768">
            <v>0</v>
          </cell>
        </row>
        <row r="769">
          <cell r="A769" t="str">
            <v>DICIEMBRE 1899</v>
          </cell>
          <cell r="F769">
            <v>0</v>
          </cell>
        </row>
        <row r="770">
          <cell r="A770" t="str">
            <v>DICIEMBRE 1899</v>
          </cell>
          <cell r="F770">
            <v>0</v>
          </cell>
        </row>
        <row r="771">
          <cell r="A771" t="str">
            <v>DICIEMBRE 1899</v>
          </cell>
          <cell r="F771">
            <v>0</v>
          </cell>
        </row>
        <row r="772">
          <cell r="A772" t="str">
            <v>DICIEMBRE 1899</v>
          </cell>
          <cell r="F772">
            <v>0</v>
          </cell>
        </row>
        <row r="773">
          <cell r="A773" t="str">
            <v>DICIEMBRE 1899</v>
          </cell>
          <cell r="F773">
            <v>0</v>
          </cell>
        </row>
        <row r="774">
          <cell r="A774" t="str">
            <v>DICIEMBRE 1899</v>
          </cell>
          <cell r="F774">
            <v>0</v>
          </cell>
        </row>
        <row r="775">
          <cell r="A775" t="str">
            <v>DICIEMBRE 1899</v>
          </cell>
          <cell r="F775">
            <v>0</v>
          </cell>
        </row>
        <row r="776">
          <cell r="A776" t="str">
            <v>DICIEMBRE 1899</v>
          </cell>
          <cell r="F776">
            <v>0</v>
          </cell>
        </row>
        <row r="777">
          <cell r="A777" t="str">
            <v>DICIEMBRE 1899</v>
          </cell>
          <cell r="F777">
            <v>0</v>
          </cell>
        </row>
        <row r="778">
          <cell r="A778" t="str">
            <v>DICIEMBRE 1899</v>
          </cell>
          <cell r="F778">
            <v>0</v>
          </cell>
        </row>
        <row r="779">
          <cell r="A779" t="str">
            <v>DICIEMBRE 1899</v>
          </cell>
          <cell r="F779">
            <v>0</v>
          </cell>
        </row>
        <row r="780">
          <cell r="A780" t="str">
            <v>DICIEMBRE 1899</v>
          </cell>
          <cell r="F780">
            <v>0</v>
          </cell>
        </row>
        <row r="781">
          <cell r="A781" t="str">
            <v>DICIEMBRE 1899</v>
          </cell>
          <cell r="F781">
            <v>0</v>
          </cell>
        </row>
        <row r="782">
          <cell r="A782" t="str">
            <v>DICIEMBRE 1899</v>
          </cell>
          <cell r="F782">
            <v>0</v>
          </cell>
        </row>
        <row r="783">
          <cell r="A783" t="str">
            <v>DICIEMBRE 1899</v>
          </cell>
          <cell r="F783">
            <v>0</v>
          </cell>
        </row>
        <row r="784">
          <cell r="A784" t="str">
            <v>DICIEMBRE 1899</v>
          </cell>
          <cell r="F784">
            <v>0</v>
          </cell>
        </row>
        <row r="785">
          <cell r="A785" t="str">
            <v>DICIEMBRE 1899</v>
          </cell>
          <cell r="F785">
            <v>0</v>
          </cell>
        </row>
        <row r="786">
          <cell r="A786" t="str">
            <v>DICIEMBRE 1899</v>
          </cell>
          <cell r="F786">
            <v>0</v>
          </cell>
        </row>
        <row r="787">
          <cell r="A787" t="str">
            <v>DICIEMBRE 1899</v>
          </cell>
          <cell r="F787">
            <v>0</v>
          </cell>
        </row>
        <row r="788">
          <cell r="A788" t="str">
            <v>DICIEMBRE 1899</v>
          </cell>
          <cell r="F788">
            <v>0</v>
          </cell>
        </row>
        <row r="789">
          <cell r="A789" t="str">
            <v>DICIEMBRE 1899</v>
          </cell>
          <cell r="F789">
            <v>0</v>
          </cell>
        </row>
        <row r="790">
          <cell r="A790" t="str">
            <v>DICIEMBRE 1899</v>
          </cell>
          <cell r="F790">
            <v>0</v>
          </cell>
        </row>
        <row r="791">
          <cell r="A791" t="str">
            <v>DICIEMBRE 1899</v>
          </cell>
          <cell r="F791">
            <v>0</v>
          </cell>
        </row>
        <row r="792">
          <cell r="A792" t="str">
            <v>DICIEMBRE 1899</v>
          </cell>
          <cell r="F792">
            <v>0</v>
          </cell>
        </row>
        <row r="793">
          <cell r="A793" t="str">
            <v>DICIEMBRE 1899</v>
          </cell>
          <cell r="F793">
            <v>0</v>
          </cell>
        </row>
        <row r="794">
          <cell r="A794" t="str">
            <v>DICIEMBRE 1899</v>
          </cell>
          <cell r="F794">
            <v>0</v>
          </cell>
        </row>
        <row r="795">
          <cell r="A795" t="str">
            <v>DICIEMBRE 1899</v>
          </cell>
          <cell r="F795">
            <v>0</v>
          </cell>
        </row>
        <row r="796">
          <cell r="A796" t="str">
            <v>DICIEMBRE 1899</v>
          </cell>
          <cell r="F796">
            <v>0</v>
          </cell>
        </row>
        <row r="797">
          <cell r="A797" t="str">
            <v>DICIEMBRE 1899</v>
          </cell>
          <cell r="F797">
            <v>0</v>
          </cell>
        </row>
        <row r="798">
          <cell r="A798" t="str">
            <v>DICIEMBRE 1899</v>
          </cell>
          <cell r="F798">
            <v>0</v>
          </cell>
        </row>
        <row r="799">
          <cell r="A799" t="str">
            <v>DICIEMBRE 1899</v>
          </cell>
          <cell r="F799">
            <v>0</v>
          </cell>
        </row>
        <row r="800">
          <cell r="A800" t="str">
            <v>DICIEMBRE 1899</v>
          </cell>
          <cell r="F800">
            <v>0</v>
          </cell>
        </row>
        <row r="801">
          <cell r="A801" t="str">
            <v>DICIEMBRE 1899</v>
          </cell>
          <cell r="F801">
            <v>0</v>
          </cell>
        </row>
        <row r="802">
          <cell r="A802" t="str">
            <v>DICIEMBRE 1899</v>
          </cell>
          <cell r="F802">
            <v>0</v>
          </cell>
        </row>
        <row r="803">
          <cell r="A803" t="str">
            <v>DICIEMBRE 1899</v>
          </cell>
          <cell r="F803">
            <v>0</v>
          </cell>
        </row>
        <row r="804">
          <cell r="A804" t="str">
            <v>DICIEMBRE 1899</v>
          </cell>
          <cell r="F804">
            <v>0</v>
          </cell>
        </row>
        <row r="805">
          <cell r="A805" t="str">
            <v>DICIEMBRE 1899</v>
          </cell>
          <cell r="F805">
            <v>0</v>
          </cell>
        </row>
        <row r="806">
          <cell r="A806" t="str">
            <v>DICIEMBRE 1899</v>
          </cell>
          <cell r="F806">
            <v>0</v>
          </cell>
        </row>
        <row r="807">
          <cell r="A807" t="str">
            <v>DICIEMBRE 1899</v>
          </cell>
          <cell r="F807">
            <v>0</v>
          </cell>
        </row>
        <row r="808">
          <cell r="A808" t="str">
            <v>DICIEMBRE 1899</v>
          </cell>
          <cell r="F808">
            <v>0</v>
          </cell>
        </row>
        <row r="809">
          <cell r="A809" t="str">
            <v>DICIEMBRE 1899</v>
          </cell>
          <cell r="F809">
            <v>0</v>
          </cell>
        </row>
        <row r="810">
          <cell r="A810" t="str">
            <v>DICIEMBRE 1899</v>
          </cell>
          <cell r="F810">
            <v>0</v>
          </cell>
        </row>
        <row r="811">
          <cell r="A811" t="str">
            <v>DICIEMBRE 1899</v>
          </cell>
          <cell r="F811">
            <v>0</v>
          </cell>
        </row>
        <row r="812">
          <cell r="A812" t="str">
            <v>DICIEMBRE 1899</v>
          </cell>
          <cell r="F812">
            <v>0</v>
          </cell>
        </row>
        <row r="813">
          <cell r="A813" t="str">
            <v>DICIEMBRE 1899</v>
          </cell>
          <cell r="F813">
            <v>0</v>
          </cell>
        </row>
        <row r="814">
          <cell r="A814" t="str">
            <v>DICIEMBRE 1899</v>
          </cell>
          <cell r="F814">
            <v>0</v>
          </cell>
        </row>
        <row r="815">
          <cell r="A815" t="str">
            <v>DICIEMBRE 1899</v>
          </cell>
          <cell r="F815">
            <v>0</v>
          </cell>
        </row>
        <row r="816">
          <cell r="A816" t="str">
            <v>DICIEMBRE 1899</v>
          </cell>
          <cell r="F816">
            <v>0</v>
          </cell>
        </row>
        <row r="817">
          <cell r="A817" t="str">
            <v>DICIEMBRE 1899</v>
          </cell>
          <cell r="F817">
            <v>0</v>
          </cell>
        </row>
        <row r="818">
          <cell r="A818" t="str">
            <v>DICIEMBRE 1899</v>
          </cell>
          <cell r="F818">
            <v>0</v>
          </cell>
        </row>
        <row r="819">
          <cell r="A819" t="str">
            <v>DICIEMBRE 1899</v>
          </cell>
          <cell r="F819">
            <v>0</v>
          </cell>
        </row>
        <row r="820">
          <cell r="A820" t="str">
            <v>DICIEMBRE 1899</v>
          </cell>
          <cell r="F820">
            <v>0</v>
          </cell>
        </row>
        <row r="821">
          <cell r="A821" t="str">
            <v>DICIEMBRE 1899</v>
          </cell>
          <cell r="F821">
            <v>0</v>
          </cell>
        </row>
        <row r="822">
          <cell r="A822" t="str">
            <v>DICIEMBRE 1899</v>
          </cell>
          <cell r="F822">
            <v>0</v>
          </cell>
        </row>
        <row r="823">
          <cell r="A823" t="str">
            <v>DICIEMBRE 1899</v>
          </cell>
          <cell r="F823">
            <v>0</v>
          </cell>
        </row>
        <row r="824">
          <cell r="A824" t="str">
            <v>DICIEMBRE 1899</v>
          </cell>
          <cell r="F824">
            <v>0</v>
          </cell>
        </row>
        <row r="825">
          <cell r="A825" t="str">
            <v>DICIEMBRE 1899</v>
          </cell>
          <cell r="F825">
            <v>0</v>
          </cell>
        </row>
        <row r="826">
          <cell r="A826" t="str">
            <v>DICIEMBRE 1899</v>
          </cell>
          <cell r="F826">
            <v>0</v>
          </cell>
        </row>
        <row r="827">
          <cell r="A827" t="str">
            <v>DICIEMBRE 1899</v>
          </cell>
          <cell r="F827">
            <v>0</v>
          </cell>
        </row>
        <row r="828">
          <cell r="A828" t="str">
            <v>DICIEMBRE 1899</v>
          </cell>
          <cell r="F828">
            <v>0</v>
          </cell>
        </row>
        <row r="829">
          <cell r="A829" t="str">
            <v>DICIEMBRE 1899</v>
          </cell>
          <cell r="F829">
            <v>0</v>
          </cell>
        </row>
        <row r="830">
          <cell r="A830" t="str">
            <v>DICIEMBRE 1899</v>
          </cell>
          <cell r="F830">
            <v>0</v>
          </cell>
        </row>
        <row r="831">
          <cell r="A831" t="str">
            <v>DICIEMBRE 1899</v>
          </cell>
          <cell r="F831">
            <v>0</v>
          </cell>
        </row>
        <row r="832">
          <cell r="A832" t="str">
            <v>DICIEMBRE 1899</v>
          </cell>
          <cell r="F832">
            <v>0</v>
          </cell>
        </row>
        <row r="833">
          <cell r="A833" t="str">
            <v>DICIEMBRE 1899</v>
          </cell>
          <cell r="F833">
            <v>0</v>
          </cell>
        </row>
        <row r="834">
          <cell r="A834" t="str">
            <v>DICIEMBRE 1899</v>
          </cell>
          <cell r="F834">
            <v>0</v>
          </cell>
        </row>
        <row r="835">
          <cell r="A835" t="str">
            <v>DICIEMBRE 1899</v>
          </cell>
          <cell r="F835">
            <v>0</v>
          </cell>
        </row>
        <row r="836">
          <cell r="A836" t="str">
            <v>DICIEMBRE 1899</v>
          </cell>
          <cell r="F836">
            <v>0</v>
          </cell>
        </row>
        <row r="837">
          <cell r="A837" t="str">
            <v>DICIEMBRE 1899</v>
          </cell>
          <cell r="F837">
            <v>0</v>
          </cell>
        </row>
        <row r="838">
          <cell r="A838" t="str">
            <v>DICIEMBRE 1899</v>
          </cell>
          <cell r="F838">
            <v>0</v>
          </cell>
        </row>
        <row r="839">
          <cell r="A839" t="str">
            <v>DICIEMBRE 1899</v>
          </cell>
          <cell r="F839">
            <v>0</v>
          </cell>
        </row>
        <row r="840">
          <cell r="A840" t="str">
            <v>DICIEMBRE 1899</v>
          </cell>
          <cell r="F840">
            <v>0</v>
          </cell>
        </row>
        <row r="841">
          <cell r="A841" t="str">
            <v>DICIEMBRE 1899</v>
          </cell>
          <cell r="F841">
            <v>0</v>
          </cell>
        </row>
        <row r="842">
          <cell r="A842" t="str">
            <v>DICIEMBRE 1899</v>
          </cell>
          <cell r="F842">
            <v>0</v>
          </cell>
        </row>
        <row r="843">
          <cell r="A843" t="str">
            <v>DICIEMBRE 1899</v>
          </cell>
          <cell r="F843">
            <v>0</v>
          </cell>
        </row>
        <row r="844">
          <cell r="A844" t="str">
            <v>DICIEMBRE 1899</v>
          </cell>
          <cell r="F844">
            <v>0</v>
          </cell>
        </row>
        <row r="845">
          <cell r="A845" t="str">
            <v>DICIEMBRE 1899</v>
          </cell>
          <cell r="F845">
            <v>0</v>
          </cell>
        </row>
        <row r="846">
          <cell r="A846" t="str">
            <v>DICIEMBRE 1899</v>
          </cell>
          <cell r="F846">
            <v>0</v>
          </cell>
        </row>
        <row r="847">
          <cell r="A847" t="str">
            <v>DICIEMBRE 1899</v>
          </cell>
          <cell r="F847">
            <v>0</v>
          </cell>
        </row>
        <row r="848">
          <cell r="A848" t="str">
            <v>DICIEMBRE 1899</v>
          </cell>
          <cell r="F848">
            <v>0</v>
          </cell>
        </row>
        <row r="849">
          <cell r="A849" t="str">
            <v>DICIEMBRE 1899</v>
          </cell>
          <cell r="F849">
            <v>0</v>
          </cell>
        </row>
        <row r="850">
          <cell r="A850" t="str">
            <v>DICIEMBRE 1899</v>
          </cell>
          <cell r="F850">
            <v>0</v>
          </cell>
        </row>
        <row r="851">
          <cell r="A851" t="str">
            <v>DICIEMBRE 1899</v>
          </cell>
          <cell r="F851">
            <v>0</v>
          </cell>
        </row>
        <row r="852">
          <cell r="A852" t="str">
            <v>DICIEMBRE 1899</v>
          </cell>
          <cell r="F852">
            <v>0</v>
          </cell>
        </row>
        <row r="853">
          <cell r="A853" t="str">
            <v>DICIEMBRE 1899</v>
          </cell>
          <cell r="F853">
            <v>0</v>
          </cell>
        </row>
        <row r="854">
          <cell r="A854" t="str">
            <v>DICIEMBRE 1899</v>
          </cell>
          <cell r="F854">
            <v>0</v>
          </cell>
        </row>
        <row r="855">
          <cell r="A855" t="str">
            <v>DICIEMBRE 1899</v>
          </cell>
          <cell r="F855">
            <v>0</v>
          </cell>
        </row>
        <row r="856">
          <cell r="A856" t="str">
            <v>DICIEMBRE 1899</v>
          </cell>
          <cell r="F856">
            <v>0</v>
          </cell>
        </row>
        <row r="857">
          <cell r="A857" t="str">
            <v>DICIEMBRE 1899</v>
          </cell>
          <cell r="F857">
            <v>0</v>
          </cell>
        </row>
        <row r="858">
          <cell r="A858" t="str">
            <v>DICIEMBRE 1899</v>
          </cell>
          <cell r="F858">
            <v>0</v>
          </cell>
        </row>
        <row r="859">
          <cell r="A859" t="str">
            <v>DICIEMBRE 1899</v>
          </cell>
          <cell r="F859">
            <v>0</v>
          </cell>
        </row>
        <row r="860">
          <cell r="A860" t="str">
            <v>DICIEMBRE 1899</v>
          </cell>
          <cell r="F860">
            <v>0</v>
          </cell>
        </row>
        <row r="861">
          <cell r="A861" t="str">
            <v>DICIEMBRE 1899</v>
          </cell>
          <cell r="F861">
            <v>0</v>
          </cell>
        </row>
        <row r="862">
          <cell r="A862" t="str">
            <v>DICIEMBRE 1899</v>
          </cell>
          <cell r="F862">
            <v>0</v>
          </cell>
        </row>
        <row r="863">
          <cell r="A863" t="str">
            <v>DICIEMBRE 1899</v>
          </cell>
          <cell r="F863">
            <v>0</v>
          </cell>
        </row>
        <row r="864">
          <cell r="A864" t="str">
            <v>DICIEMBRE 1899</v>
          </cell>
          <cell r="F864">
            <v>0</v>
          </cell>
        </row>
        <row r="865">
          <cell r="A865" t="str">
            <v>DICIEMBRE 1899</v>
          </cell>
          <cell r="F865">
            <v>0</v>
          </cell>
        </row>
        <row r="866">
          <cell r="A866" t="str">
            <v>DICIEMBRE 1899</v>
          </cell>
          <cell r="F866">
            <v>0</v>
          </cell>
        </row>
        <row r="867">
          <cell r="A867" t="str">
            <v>DICIEMBRE 1899</v>
          </cell>
          <cell r="F867">
            <v>0</v>
          </cell>
        </row>
        <row r="868">
          <cell r="A868" t="str">
            <v>DICIEMBRE 1899</v>
          </cell>
          <cell r="F868">
            <v>0</v>
          </cell>
        </row>
        <row r="869">
          <cell r="A869" t="str">
            <v>DICIEMBRE 1899</v>
          </cell>
          <cell r="F869">
            <v>0</v>
          </cell>
        </row>
        <row r="870">
          <cell r="A870" t="str">
            <v>DICIEMBRE 1899</v>
          </cell>
          <cell r="F870">
            <v>0</v>
          </cell>
        </row>
        <row r="871">
          <cell r="A871" t="str">
            <v>DICIEMBRE 1899</v>
          </cell>
          <cell r="F871">
            <v>0</v>
          </cell>
        </row>
        <row r="872">
          <cell r="A872" t="str">
            <v>DICIEMBRE 1899</v>
          </cell>
          <cell r="F872">
            <v>0</v>
          </cell>
        </row>
        <row r="873">
          <cell r="A873" t="str">
            <v>DICIEMBRE 1899</v>
          </cell>
          <cell r="F873">
            <v>0</v>
          </cell>
        </row>
        <row r="874">
          <cell r="A874" t="str">
            <v>DICIEMBRE 1899</v>
          </cell>
          <cell r="F874">
            <v>0</v>
          </cell>
        </row>
        <row r="875">
          <cell r="A875" t="str">
            <v>DICIEMBRE 1899</v>
          </cell>
          <cell r="F875">
            <v>0</v>
          </cell>
        </row>
        <row r="876">
          <cell r="A876" t="str">
            <v>DICIEMBRE 1899</v>
          </cell>
          <cell r="F876">
            <v>0</v>
          </cell>
        </row>
        <row r="877">
          <cell r="A877" t="str">
            <v>DICIEMBRE 1899</v>
          </cell>
          <cell r="F877">
            <v>0</v>
          </cell>
        </row>
        <row r="878">
          <cell r="A878" t="str">
            <v>DICIEMBRE 1899</v>
          </cell>
          <cell r="F878">
            <v>0</v>
          </cell>
        </row>
        <row r="879">
          <cell r="A879" t="str">
            <v>DICIEMBRE 1899</v>
          </cell>
          <cell r="F879">
            <v>0</v>
          </cell>
        </row>
        <row r="880">
          <cell r="A880" t="str">
            <v>DICIEMBRE 1899</v>
          </cell>
          <cell r="F880">
            <v>0</v>
          </cell>
        </row>
        <row r="881">
          <cell r="A881" t="str">
            <v>DICIEMBRE 1899</v>
          </cell>
          <cell r="F881">
            <v>0</v>
          </cell>
        </row>
        <row r="882">
          <cell r="A882" t="str">
            <v>DICIEMBRE 1899</v>
          </cell>
          <cell r="F882">
            <v>0</v>
          </cell>
        </row>
        <row r="883">
          <cell r="A883" t="str">
            <v>DICIEMBRE 1899</v>
          </cell>
          <cell r="F883">
            <v>0</v>
          </cell>
        </row>
        <row r="884">
          <cell r="A884" t="str">
            <v>DICIEMBRE 1899</v>
          </cell>
          <cell r="F884">
            <v>0</v>
          </cell>
        </row>
        <row r="885">
          <cell r="A885" t="str">
            <v>DICIEMBRE 1899</v>
          </cell>
          <cell r="F885">
            <v>0</v>
          </cell>
        </row>
        <row r="886">
          <cell r="A886" t="str">
            <v>DICIEMBRE 1899</v>
          </cell>
          <cell r="F886">
            <v>0</v>
          </cell>
        </row>
        <row r="887">
          <cell r="A887" t="str">
            <v>DICIEMBRE 1899</v>
          </cell>
          <cell r="F887">
            <v>0</v>
          </cell>
        </row>
        <row r="888">
          <cell r="A888" t="str">
            <v>DICIEMBRE 1899</v>
          </cell>
          <cell r="F888">
            <v>0</v>
          </cell>
        </row>
        <row r="889">
          <cell r="A889" t="str">
            <v>DICIEMBRE 1899</v>
          </cell>
          <cell r="F889">
            <v>0</v>
          </cell>
        </row>
        <row r="890">
          <cell r="A890" t="str">
            <v>DICIEMBRE 1899</v>
          </cell>
          <cell r="F890">
            <v>0</v>
          </cell>
        </row>
        <row r="891">
          <cell r="A891" t="str">
            <v>DICIEMBRE 1899</v>
          </cell>
          <cell r="F891">
            <v>0</v>
          </cell>
        </row>
        <row r="892">
          <cell r="A892" t="str">
            <v>DICIEMBRE 1899</v>
          </cell>
          <cell r="F892">
            <v>0</v>
          </cell>
        </row>
        <row r="893">
          <cell r="A893" t="str">
            <v>DICIEMBRE 1899</v>
          </cell>
          <cell r="F893">
            <v>0</v>
          </cell>
        </row>
        <row r="894">
          <cell r="A894" t="str">
            <v>DICIEMBRE 1899</v>
          </cell>
          <cell r="F894">
            <v>0</v>
          </cell>
        </row>
        <row r="895">
          <cell r="A895" t="str">
            <v>DICIEMBRE 1899</v>
          </cell>
          <cell r="F895">
            <v>0</v>
          </cell>
        </row>
        <row r="896">
          <cell r="A896" t="str">
            <v>DICIEMBRE 1899</v>
          </cell>
          <cell r="F896">
            <v>0</v>
          </cell>
        </row>
        <row r="897">
          <cell r="A897" t="str">
            <v>DICIEMBRE 1899</v>
          </cell>
          <cell r="F897">
            <v>0</v>
          </cell>
        </row>
        <row r="898">
          <cell r="A898" t="str">
            <v>DICIEMBRE 1899</v>
          </cell>
          <cell r="F898">
            <v>0</v>
          </cell>
        </row>
        <row r="899">
          <cell r="A899" t="str">
            <v>DICIEMBRE 1899</v>
          </cell>
          <cell r="F899">
            <v>0</v>
          </cell>
        </row>
        <row r="900">
          <cell r="A900" t="str">
            <v>DICIEMBRE 1899</v>
          </cell>
          <cell r="F900">
            <v>0</v>
          </cell>
        </row>
        <row r="901">
          <cell r="A901" t="str">
            <v>DICIEMBRE 1899</v>
          </cell>
          <cell r="F901">
            <v>0</v>
          </cell>
        </row>
        <row r="902">
          <cell r="A902" t="str">
            <v>DICIEMBRE 1899</v>
          </cell>
          <cell r="F902">
            <v>0</v>
          </cell>
        </row>
        <row r="903">
          <cell r="A903" t="str">
            <v>DICIEMBRE 1899</v>
          </cell>
          <cell r="F903">
            <v>0</v>
          </cell>
        </row>
        <row r="904">
          <cell r="A904" t="str">
            <v>DICIEMBRE 1899</v>
          </cell>
          <cell r="F904">
            <v>0</v>
          </cell>
        </row>
        <row r="905">
          <cell r="A905" t="str">
            <v>DICIEMBRE 1899</v>
          </cell>
          <cell r="F905">
            <v>0</v>
          </cell>
        </row>
        <row r="906">
          <cell r="A906" t="str">
            <v>DICIEMBRE 1899</v>
          </cell>
          <cell r="F906">
            <v>0</v>
          </cell>
        </row>
        <row r="907">
          <cell r="A907" t="str">
            <v>DICIEMBRE 1899</v>
          </cell>
          <cell r="F907">
            <v>0</v>
          </cell>
        </row>
        <row r="908">
          <cell r="A908" t="str">
            <v>DICIEMBRE 1899</v>
          </cell>
          <cell r="F908">
            <v>0</v>
          </cell>
        </row>
        <row r="909">
          <cell r="A909" t="str">
            <v>DICIEMBRE 1899</v>
          </cell>
          <cell r="F909">
            <v>0</v>
          </cell>
        </row>
        <row r="910">
          <cell r="A910" t="str">
            <v>DICIEMBRE 1899</v>
          </cell>
          <cell r="F910">
            <v>0</v>
          </cell>
        </row>
        <row r="911">
          <cell r="A911" t="str">
            <v>DICIEMBRE 1899</v>
          </cell>
          <cell r="F911">
            <v>0</v>
          </cell>
        </row>
        <row r="912">
          <cell r="A912" t="str">
            <v>DICIEMBRE 1899</v>
          </cell>
          <cell r="F912">
            <v>0</v>
          </cell>
        </row>
        <row r="913">
          <cell r="A913" t="str">
            <v>DICIEMBRE 1899</v>
          </cell>
          <cell r="F913">
            <v>0</v>
          </cell>
        </row>
        <row r="914">
          <cell r="A914" t="str">
            <v>DICIEMBRE 1899</v>
          </cell>
          <cell r="F914">
            <v>0</v>
          </cell>
        </row>
        <row r="915">
          <cell r="A915" t="str">
            <v>DICIEMBRE 1899</v>
          </cell>
          <cell r="F915">
            <v>0</v>
          </cell>
        </row>
        <row r="916">
          <cell r="A916" t="str">
            <v>DICIEMBRE 1899</v>
          </cell>
          <cell r="F916">
            <v>0</v>
          </cell>
        </row>
        <row r="917">
          <cell r="A917" t="str">
            <v>DICIEMBRE 1899</v>
          </cell>
          <cell r="F917">
            <v>0</v>
          </cell>
        </row>
        <row r="918">
          <cell r="A918" t="str">
            <v>DICIEMBRE 1899</v>
          </cell>
          <cell r="F918">
            <v>0</v>
          </cell>
        </row>
        <row r="919">
          <cell r="A919" t="str">
            <v>DICIEMBRE 1899</v>
          </cell>
          <cell r="F919">
            <v>0</v>
          </cell>
        </row>
        <row r="920">
          <cell r="A920" t="str">
            <v>DICIEMBRE 1899</v>
          </cell>
          <cell r="F920">
            <v>0</v>
          </cell>
        </row>
        <row r="921">
          <cell r="A921" t="str">
            <v>DICIEMBRE 1899</v>
          </cell>
          <cell r="F921">
            <v>0</v>
          </cell>
        </row>
        <row r="922">
          <cell r="A922" t="str">
            <v>DICIEMBRE 1899</v>
          </cell>
          <cell r="F922">
            <v>0</v>
          </cell>
        </row>
        <row r="923">
          <cell r="A923" t="str">
            <v>DICIEMBRE 1899</v>
          </cell>
          <cell r="F923">
            <v>0</v>
          </cell>
        </row>
        <row r="924">
          <cell r="A924" t="str">
            <v>DICIEMBRE 1899</v>
          </cell>
          <cell r="F924">
            <v>0</v>
          </cell>
        </row>
        <row r="925">
          <cell r="A925" t="str">
            <v>DICIEMBRE 1899</v>
          </cell>
          <cell r="F925">
            <v>0</v>
          </cell>
        </row>
        <row r="926">
          <cell r="A926" t="str">
            <v>DICIEMBRE 1899</v>
          </cell>
          <cell r="F926">
            <v>0</v>
          </cell>
        </row>
        <row r="927">
          <cell r="A927" t="str">
            <v>DICIEMBRE 1899</v>
          </cell>
          <cell r="F927">
            <v>0</v>
          </cell>
        </row>
        <row r="928">
          <cell r="A928" t="str">
            <v>DICIEMBRE 1899</v>
          </cell>
          <cell r="F928">
            <v>0</v>
          </cell>
        </row>
        <row r="929">
          <cell r="A929" t="str">
            <v>DICIEMBRE 1899</v>
          </cell>
          <cell r="F929">
            <v>0</v>
          </cell>
        </row>
        <row r="930">
          <cell r="A930" t="str">
            <v>DICIEMBRE 1899</v>
          </cell>
          <cell r="F930">
            <v>0</v>
          </cell>
        </row>
        <row r="931">
          <cell r="A931" t="str">
            <v>DICIEMBRE 1899</v>
          </cell>
          <cell r="F931">
            <v>0</v>
          </cell>
        </row>
        <row r="932">
          <cell r="A932" t="str">
            <v>DICIEMBRE 1899</v>
          </cell>
          <cell r="F932">
            <v>0</v>
          </cell>
        </row>
        <row r="933">
          <cell r="A933" t="str">
            <v>DICIEMBRE 1899</v>
          </cell>
          <cell r="F933">
            <v>0</v>
          </cell>
        </row>
        <row r="934">
          <cell r="A934" t="str">
            <v>DICIEMBRE 1899</v>
          </cell>
          <cell r="F934">
            <v>0</v>
          </cell>
        </row>
        <row r="935">
          <cell r="A935" t="str">
            <v>DICIEMBRE 1899</v>
          </cell>
          <cell r="F935">
            <v>0</v>
          </cell>
        </row>
        <row r="936">
          <cell r="A936" t="str">
            <v>DICIEMBRE 1899</v>
          </cell>
          <cell r="F936">
            <v>0</v>
          </cell>
        </row>
        <row r="937">
          <cell r="A937" t="str">
            <v>DICIEMBRE 1899</v>
          </cell>
          <cell r="F937">
            <v>0</v>
          </cell>
        </row>
        <row r="938">
          <cell r="A938" t="str">
            <v>DICIEMBRE 1899</v>
          </cell>
          <cell r="F938">
            <v>0</v>
          </cell>
        </row>
        <row r="939">
          <cell r="A939" t="str">
            <v>DICIEMBRE 1899</v>
          </cell>
          <cell r="F939">
            <v>0</v>
          </cell>
        </row>
        <row r="940">
          <cell r="A940" t="str">
            <v>DICIEMBRE 1899</v>
          </cell>
          <cell r="F940">
            <v>0</v>
          </cell>
        </row>
        <row r="941">
          <cell r="A941" t="str">
            <v>DICIEMBRE 1899</v>
          </cell>
          <cell r="F941">
            <v>0</v>
          </cell>
        </row>
        <row r="942">
          <cell r="A942" t="str">
            <v>DICIEMBRE 1899</v>
          </cell>
          <cell r="F942">
            <v>0</v>
          </cell>
        </row>
        <row r="943">
          <cell r="A943" t="str">
            <v>DICIEMBRE 1899</v>
          </cell>
          <cell r="F943">
            <v>0</v>
          </cell>
        </row>
        <row r="944">
          <cell r="A944" t="str">
            <v>DICIEMBRE 1899</v>
          </cell>
          <cell r="F944">
            <v>0</v>
          </cell>
        </row>
        <row r="945">
          <cell r="A945" t="str">
            <v>DICIEMBRE 1899</v>
          </cell>
          <cell r="F945">
            <v>0</v>
          </cell>
        </row>
        <row r="946">
          <cell r="A946" t="str">
            <v>DICIEMBRE 1899</v>
          </cell>
          <cell r="F946">
            <v>0</v>
          </cell>
        </row>
        <row r="947">
          <cell r="A947" t="str">
            <v>DICIEMBRE 1899</v>
          </cell>
          <cell r="F947">
            <v>0</v>
          </cell>
        </row>
        <row r="948">
          <cell r="A948" t="str">
            <v>DICIEMBRE 1899</v>
          </cell>
          <cell r="F948">
            <v>0</v>
          </cell>
        </row>
        <row r="949">
          <cell r="A949" t="str">
            <v>DICIEMBRE 1899</v>
          </cell>
          <cell r="F949">
            <v>0</v>
          </cell>
        </row>
        <row r="950">
          <cell r="A950" t="str">
            <v>DICIEMBRE 1899</v>
          </cell>
          <cell r="F950">
            <v>0</v>
          </cell>
        </row>
        <row r="951">
          <cell r="A951" t="str">
            <v>DICIEMBRE 1899</v>
          </cell>
          <cell r="F951">
            <v>0</v>
          </cell>
        </row>
        <row r="952">
          <cell r="A952" t="str">
            <v>DICIEMBRE 1899</v>
          </cell>
          <cell r="F952">
            <v>0</v>
          </cell>
        </row>
        <row r="953">
          <cell r="A953" t="str">
            <v>DICIEMBRE 1899</v>
          </cell>
          <cell r="F953">
            <v>0</v>
          </cell>
        </row>
        <row r="954">
          <cell r="A954" t="str">
            <v>DICIEMBRE 1899</v>
          </cell>
          <cell r="F954">
            <v>0</v>
          </cell>
        </row>
        <row r="955">
          <cell r="A955" t="str">
            <v>DICIEMBRE 1899</v>
          </cell>
          <cell r="F955">
            <v>0</v>
          </cell>
        </row>
        <row r="956">
          <cell r="A956" t="str">
            <v>DICIEMBRE 1899</v>
          </cell>
          <cell r="F956">
            <v>0</v>
          </cell>
        </row>
        <row r="957">
          <cell r="A957" t="str">
            <v>DICIEMBRE 1899</v>
          </cell>
          <cell r="F957">
            <v>0</v>
          </cell>
        </row>
        <row r="958">
          <cell r="A958" t="str">
            <v>DICIEMBRE 1899</v>
          </cell>
          <cell r="F958">
            <v>0</v>
          </cell>
        </row>
        <row r="959">
          <cell r="A959" t="str">
            <v>DICIEMBRE 1899</v>
          </cell>
          <cell r="F959">
            <v>0</v>
          </cell>
        </row>
        <row r="960">
          <cell r="A960" t="str">
            <v>DICIEMBRE 1899</v>
          </cell>
          <cell r="F960">
            <v>0</v>
          </cell>
        </row>
        <row r="961">
          <cell r="A961" t="str">
            <v>DICIEMBRE 1899</v>
          </cell>
          <cell r="F961">
            <v>0</v>
          </cell>
        </row>
        <row r="962">
          <cell r="A962" t="str">
            <v>DICIEMBRE 1899</v>
          </cell>
          <cell r="F962">
            <v>0</v>
          </cell>
        </row>
        <row r="963">
          <cell r="A963" t="str">
            <v>DICIEMBRE 1899</v>
          </cell>
          <cell r="F963">
            <v>0</v>
          </cell>
        </row>
        <row r="964">
          <cell r="A964" t="str">
            <v>DICIEMBRE 1899</v>
          </cell>
          <cell r="F964">
            <v>0</v>
          </cell>
        </row>
        <row r="965">
          <cell r="A965" t="str">
            <v>DICIEMBRE 1899</v>
          </cell>
          <cell r="F965">
            <v>0</v>
          </cell>
        </row>
        <row r="966">
          <cell r="A966" t="str">
            <v>DICIEMBRE 1899</v>
          </cell>
          <cell r="F966">
            <v>0</v>
          </cell>
        </row>
        <row r="967">
          <cell r="A967" t="str">
            <v>DICIEMBRE 1899</v>
          </cell>
          <cell r="F967">
            <v>0</v>
          </cell>
        </row>
        <row r="968">
          <cell r="A968" t="str">
            <v>DICIEMBRE 1899</v>
          </cell>
          <cell r="F968">
            <v>0</v>
          </cell>
        </row>
        <row r="969">
          <cell r="A969" t="str">
            <v>DICIEMBRE 1899</v>
          </cell>
          <cell r="F969">
            <v>0</v>
          </cell>
        </row>
        <row r="970">
          <cell r="A970" t="str">
            <v>DICIEMBRE 1899</v>
          </cell>
          <cell r="F970">
            <v>0</v>
          </cell>
        </row>
        <row r="971">
          <cell r="A971" t="str">
            <v>DICIEMBRE 1899</v>
          </cell>
          <cell r="F971">
            <v>0</v>
          </cell>
        </row>
        <row r="972">
          <cell r="A972" t="str">
            <v>DICIEMBRE 1899</v>
          </cell>
          <cell r="F972">
            <v>0</v>
          </cell>
        </row>
        <row r="973">
          <cell r="A973" t="str">
            <v>DICIEMBRE 1899</v>
          </cell>
          <cell r="F973">
            <v>0</v>
          </cell>
        </row>
        <row r="974">
          <cell r="A974" t="str">
            <v>DICIEMBRE 1899</v>
          </cell>
          <cell r="F974">
            <v>0</v>
          </cell>
        </row>
        <row r="975">
          <cell r="A975" t="str">
            <v>DICIEMBRE 1899</v>
          </cell>
          <cell r="F975">
            <v>0</v>
          </cell>
        </row>
        <row r="976">
          <cell r="A976" t="str">
            <v>DICIEMBRE 1899</v>
          </cell>
          <cell r="F976">
            <v>0</v>
          </cell>
        </row>
        <row r="977">
          <cell r="A977" t="str">
            <v>DICIEMBRE 1899</v>
          </cell>
          <cell r="F977">
            <v>0</v>
          </cell>
        </row>
        <row r="978">
          <cell r="A978" t="str">
            <v>DICIEMBRE 1899</v>
          </cell>
          <cell r="F978">
            <v>0</v>
          </cell>
        </row>
        <row r="979">
          <cell r="A979" t="str">
            <v>DICIEMBRE 1899</v>
          </cell>
          <cell r="F979">
            <v>0</v>
          </cell>
        </row>
        <row r="980">
          <cell r="A980" t="str">
            <v>DICIEMBRE 1899</v>
          </cell>
          <cell r="F980">
            <v>0</v>
          </cell>
        </row>
        <row r="981">
          <cell r="A981" t="str">
            <v>DICIEMBRE 1899</v>
          </cell>
          <cell r="F981">
            <v>0</v>
          </cell>
        </row>
        <row r="982">
          <cell r="A982" t="str">
            <v>DICIEMBRE 1899</v>
          </cell>
          <cell r="F982">
            <v>0</v>
          </cell>
        </row>
        <row r="983">
          <cell r="A983" t="str">
            <v>DICIEMBRE 1899</v>
          </cell>
          <cell r="F983">
            <v>0</v>
          </cell>
        </row>
        <row r="984">
          <cell r="A984" t="str">
            <v>DICIEMBRE 1899</v>
          </cell>
          <cell r="F984">
            <v>0</v>
          </cell>
        </row>
        <row r="985">
          <cell r="A985" t="str">
            <v>DICIEMBRE 1899</v>
          </cell>
          <cell r="F985">
            <v>0</v>
          </cell>
        </row>
        <row r="986">
          <cell r="A986" t="str">
            <v>DICIEMBRE 1899</v>
          </cell>
          <cell r="F986">
            <v>0</v>
          </cell>
        </row>
        <row r="987">
          <cell r="A987" t="str">
            <v>DICIEMBRE 1899</v>
          </cell>
          <cell r="F987">
            <v>0</v>
          </cell>
        </row>
        <row r="988">
          <cell r="A988" t="str">
            <v>DICIEMBRE 1899</v>
          </cell>
          <cell r="F988">
            <v>0</v>
          </cell>
        </row>
        <row r="989">
          <cell r="A989" t="str">
            <v>DICIEMBRE 1899</v>
          </cell>
          <cell r="F989">
            <v>0</v>
          </cell>
        </row>
        <row r="990">
          <cell r="A990" t="str">
            <v>DICIEMBRE 1899</v>
          </cell>
          <cell r="F990">
            <v>0</v>
          </cell>
        </row>
        <row r="991">
          <cell r="A991" t="str">
            <v>DICIEMBRE 1899</v>
          </cell>
          <cell r="F991">
            <v>0</v>
          </cell>
        </row>
        <row r="992">
          <cell r="A992" t="str">
            <v>DICIEMBRE 1899</v>
          </cell>
          <cell r="F992">
            <v>0</v>
          </cell>
        </row>
        <row r="993">
          <cell r="A993" t="str">
            <v>DICIEMBRE 1899</v>
          </cell>
          <cell r="F993">
            <v>0</v>
          </cell>
        </row>
        <row r="994">
          <cell r="A994" t="str">
            <v>DICIEMBRE 1899</v>
          </cell>
          <cell r="F994">
            <v>0</v>
          </cell>
        </row>
        <row r="995">
          <cell r="A995" t="str">
            <v>DICIEMBRE 1899</v>
          </cell>
          <cell r="F995">
            <v>0</v>
          </cell>
        </row>
        <row r="996">
          <cell r="A996" t="str">
            <v>DICIEMBRE 1899</v>
          </cell>
          <cell r="F996">
            <v>0</v>
          </cell>
        </row>
        <row r="997">
          <cell r="A997" t="str">
            <v>DICIEMBRE 1899</v>
          </cell>
          <cell r="F997">
            <v>0</v>
          </cell>
        </row>
        <row r="998">
          <cell r="A998" t="str">
            <v>DICIEMBRE 1899</v>
          </cell>
          <cell r="F998">
            <v>0</v>
          </cell>
        </row>
        <row r="999">
          <cell r="A999" t="str">
            <v>DICIEMBRE 1899</v>
          </cell>
          <cell r="F999">
            <v>0</v>
          </cell>
        </row>
        <row r="1000">
          <cell r="A1000" t="str">
            <v>DICIEMBRE 1899</v>
          </cell>
          <cell r="F100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8029-E076-46B9-9440-1736C0E25FF1}">
  <sheetPr>
    <outlinePr summaryBelow="0" summaryRight="0"/>
    <pageSetUpPr fitToPage="1"/>
  </sheetPr>
  <dimension ref="A1:Z1106"/>
  <sheetViews>
    <sheetView showGridLines="0" tabSelected="1" workbookViewId="0">
      <selection activeCell="N29" sqref="N29"/>
    </sheetView>
  </sheetViews>
  <sheetFormatPr baseColWidth="10" defaultColWidth="12.5703125" defaultRowHeight="15.75" customHeight="1" outlineLevelRow="1" x14ac:dyDescent="0.2"/>
  <cols>
    <col min="1" max="1" width="33.42578125" customWidth="1"/>
    <col min="2" max="2" width="29.140625" customWidth="1"/>
    <col min="3" max="3" width="13.42578125" customWidth="1"/>
    <col min="4" max="4" width="11.140625" customWidth="1"/>
    <col min="5" max="13" width="10" customWidth="1"/>
    <col min="14" max="14" width="11.5703125" customWidth="1"/>
    <col min="15" max="15" width="6.5703125" customWidth="1"/>
  </cols>
  <sheetData>
    <row r="1" spans="1:26" ht="15.75" customHeight="1" x14ac:dyDescent="0.3">
      <c r="A1" s="21"/>
      <c r="B1" s="20" t="s">
        <v>32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/>
      <c r="B2" s="12" t="s">
        <v>31</v>
      </c>
      <c r="C2" s="12" t="s">
        <v>30</v>
      </c>
      <c r="D2" s="12" t="s">
        <v>29</v>
      </c>
      <c r="E2" s="12" t="s">
        <v>28</v>
      </c>
      <c r="F2" s="12" t="s">
        <v>27</v>
      </c>
      <c r="G2" s="12" t="s">
        <v>26</v>
      </c>
      <c r="H2" s="12" t="s">
        <v>25</v>
      </c>
      <c r="I2" s="12" t="s">
        <v>24</v>
      </c>
      <c r="J2" s="12" t="s">
        <v>23</v>
      </c>
      <c r="K2" s="12" t="s">
        <v>22</v>
      </c>
      <c r="L2" s="12" t="s">
        <v>21</v>
      </c>
      <c r="M2" s="12" t="s">
        <v>20</v>
      </c>
      <c r="N2" s="12" t="s">
        <v>19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5" t="s">
        <v>18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5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7" t="str">
        <f ca="1">IFERROR(__xludf.DUMMYFUNCTION("LET(
  base, 'INGRESOS ER BASE 2026'!A2:O1106,
  sucursales, UNIQUE(FILTER(INDEX(base,,1), INDEX(base,,1) &lt;&gt; """")),
  v_12, MAKEARRAY(1, 12, LAMBDA(r, c, """")),
  v_13, MAKEARRAY(1, 13, LAMBDA(r, c, """")),
  resultado, REDUCE(v_13, sucursales, LAMBDA(a"&amp;"cc, s, 
    LET(
      s_safe, SUBSTITUTE(s, ""'"", ""''""),
      datos_s, FILTER(CHOOSECOLS(base, 4, 5, 6, 7, 8, 9, 10, 11, 12, 13, 14, 15), INDEX(base,,1) = s),
      sum_s, BYCOL(datos_s, LAMBDA(col, SUM(col))),
      res_q, IFERROR(
        QUERY(bas"&amp;"e, 
          ""SELECT Col2, SUM(Col4), SUM(Col5), SUM(Col6), SUM(Col7), SUM(Col8), SUM(Col9), SUM(Col10), SUM(Col11), SUM(Col12), SUM(Col13), SUM(Col14), SUM(Col15) 
           WHERE Col1 = '""&amp;s_safe&amp;""' 
           GROUP BY Col2 
           LABEL SUM(C"&amp;"ol4) '', SUM(Col5) '', SUM(Col6) '', SUM(Col7) '', SUM(Col8) '', SUM(Col9) '', SUM(Col10) '', SUM(Col11) '', SUM(Col12) '', SUM(Col13) '', SUM(Col14) '', SUM(Col15) ''"", 0), 
        v_13),
      bloque, VSTACK(
        HSTACK(s, sum_s), 
        v_13, 
"&amp;"        res_q, 
        v_13
      ),
      IF(INDEX(acc, 1, 1) = """", bloque, VSTACK(acc, bloque))
    )
  )),
  resultado
)"),"A")</f>
        <v>A</v>
      </c>
      <c r="B5" s="13">
        <f ca="1">IFERROR(__xludf.DUMMYFUNCTION("""COMPUTED_VALUE"""),3164778.71999999)</f>
        <v>3164778.71999999</v>
      </c>
      <c r="C5" s="13">
        <f ca="1">IFERROR(__xludf.DUMMYFUNCTION("""COMPUTED_VALUE"""),0)</f>
        <v>0</v>
      </c>
      <c r="D5" s="3">
        <f ca="1">IFERROR(__xludf.DUMMYFUNCTION("""COMPUTED_VALUE"""),0)</f>
        <v>0</v>
      </c>
      <c r="E5" s="3">
        <f ca="1">IFERROR(__xludf.DUMMYFUNCTION("""COMPUTED_VALUE"""),0)</f>
        <v>0</v>
      </c>
      <c r="F5" s="3">
        <f ca="1">IFERROR(__xludf.DUMMYFUNCTION("""COMPUTED_VALUE"""),0)</f>
        <v>0</v>
      </c>
      <c r="G5" s="3">
        <f ca="1">IFERROR(__xludf.DUMMYFUNCTION("""COMPUTED_VALUE"""),0)</f>
        <v>0</v>
      </c>
      <c r="H5" s="3">
        <f ca="1">IFERROR(__xludf.DUMMYFUNCTION("""COMPUTED_VALUE"""),0)</f>
        <v>0</v>
      </c>
      <c r="I5" s="3">
        <f ca="1">IFERROR(__xludf.DUMMYFUNCTION("""COMPUTED_VALUE"""),0)</f>
        <v>0</v>
      </c>
      <c r="J5" s="3">
        <f ca="1">IFERROR(__xludf.DUMMYFUNCTION("""COMPUTED_VALUE"""),0)</f>
        <v>0</v>
      </c>
      <c r="K5" s="3">
        <f ca="1">IFERROR(__xludf.DUMMYFUNCTION("""COMPUTED_VALUE"""),0)</f>
        <v>0</v>
      </c>
      <c r="L5" s="3">
        <f ca="1">IFERROR(__xludf.DUMMYFUNCTION("""COMPUTED_VALUE"""),0)</f>
        <v>0</v>
      </c>
      <c r="M5" s="3">
        <f ca="1">IFERROR(__xludf.DUMMYFUNCTION("""COMPUTED_VALUE"""),0)</f>
        <v>0</v>
      </c>
      <c r="N5" s="12">
        <f ca="1">IF(M5="",, SUM(B5:M5))</f>
        <v>3164778.71999999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7" t="str">
        <f ca="1">IFERROR(__xludf.DUMMYFUNCTION("""COMPUTED_VALUE"""),"")</f>
        <v/>
      </c>
      <c r="B6" s="13" t="str">
        <f ca="1">IFERROR(__xludf.DUMMYFUNCTION("""COMPUTED_VALUE"""),"")</f>
        <v/>
      </c>
      <c r="C6" s="3" t="str">
        <f ca="1">IFERROR(__xludf.DUMMYFUNCTION("""COMPUTED_VALUE"""),"")</f>
        <v/>
      </c>
      <c r="D6" s="3" t="str">
        <f ca="1">IFERROR(__xludf.DUMMYFUNCTION("""COMPUTED_VALUE"""),"")</f>
        <v/>
      </c>
      <c r="E6" s="3" t="str">
        <f ca="1">IFERROR(__xludf.DUMMYFUNCTION("""COMPUTED_VALUE"""),"")</f>
        <v/>
      </c>
      <c r="F6" s="3" t="str">
        <f ca="1">IFERROR(__xludf.DUMMYFUNCTION("""COMPUTED_VALUE"""),"")</f>
        <v/>
      </c>
      <c r="G6" s="3" t="str">
        <f ca="1">IFERROR(__xludf.DUMMYFUNCTION("""COMPUTED_VALUE"""),"")</f>
        <v/>
      </c>
      <c r="H6" s="3" t="str">
        <f ca="1">IFERROR(__xludf.DUMMYFUNCTION("""COMPUTED_VALUE"""),"")</f>
        <v/>
      </c>
      <c r="I6" s="3" t="str">
        <f ca="1">IFERROR(__xludf.DUMMYFUNCTION("""COMPUTED_VALUE"""),"")</f>
        <v/>
      </c>
      <c r="J6" s="3" t="str">
        <f ca="1">IFERROR(__xludf.DUMMYFUNCTION("""COMPUTED_VALUE"""),"")</f>
        <v/>
      </c>
      <c r="K6" s="3" t="str">
        <f ca="1">IFERROR(__xludf.DUMMYFUNCTION("""COMPUTED_VALUE"""),"")</f>
        <v/>
      </c>
      <c r="L6" s="3" t="str">
        <f ca="1">IFERROR(__xludf.DUMMYFUNCTION("""COMPUTED_VALUE"""),"")</f>
        <v/>
      </c>
      <c r="M6" s="3" t="str">
        <f ca="1">IFERROR(__xludf.DUMMYFUNCTION("""COMPUTED_VALUE"""),"")</f>
        <v/>
      </c>
      <c r="N6" s="12">
        <f ca="1">IF(M6="",, SUM(B6:M6))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7" t="str">
        <f ca="1">IFERROR(__xludf.DUMMYFUNCTION("""COMPUTED_VALUE"""),"Alimentos")</f>
        <v>Alimentos</v>
      </c>
      <c r="B7" s="13">
        <f ca="1">IFERROR(__xludf.DUMMYFUNCTION("""COMPUTED_VALUE"""),2318182.87)</f>
        <v>2318182.87</v>
      </c>
      <c r="C7" s="3">
        <f ca="1">IFERROR(__xludf.DUMMYFUNCTION("""COMPUTED_VALUE"""),0)</f>
        <v>0</v>
      </c>
      <c r="D7" s="3">
        <f ca="1">IFERROR(__xludf.DUMMYFUNCTION("""COMPUTED_VALUE"""),0)</f>
        <v>0</v>
      </c>
      <c r="E7" s="3">
        <f ca="1">IFERROR(__xludf.DUMMYFUNCTION("""COMPUTED_VALUE"""),0)</f>
        <v>0</v>
      </c>
      <c r="F7" s="3">
        <f ca="1">IFERROR(__xludf.DUMMYFUNCTION("""COMPUTED_VALUE"""),0)</f>
        <v>0</v>
      </c>
      <c r="G7" s="3">
        <f ca="1">IFERROR(__xludf.DUMMYFUNCTION("""COMPUTED_VALUE"""),0)</f>
        <v>0</v>
      </c>
      <c r="H7" s="3">
        <f ca="1">IFERROR(__xludf.DUMMYFUNCTION("""COMPUTED_VALUE"""),0)</f>
        <v>0</v>
      </c>
      <c r="I7" s="3">
        <f ca="1">IFERROR(__xludf.DUMMYFUNCTION("""COMPUTED_VALUE"""),0)</f>
        <v>0</v>
      </c>
      <c r="J7" s="3">
        <f ca="1">IFERROR(__xludf.DUMMYFUNCTION("""COMPUTED_VALUE"""),0)</f>
        <v>0</v>
      </c>
      <c r="K7" s="3">
        <f ca="1">IFERROR(__xludf.DUMMYFUNCTION("""COMPUTED_VALUE"""),0)</f>
        <v>0</v>
      </c>
      <c r="L7" s="3">
        <f ca="1">IFERROR(__xludf.DUMMYFUNCTION("""COMPUTED_VALUE"""),0)</f>
        <v>0</v>
      </c>
      <c r="M7" s="3">
        <f ca="1">IFERROR(__xludf.DUMMYFUNCTION("""COMPUTED_VALUE"""),0)</f>
        <v>0</v>
      </c>
      <c r="N7" s="12">
        <f ca="1">IF(M7="",, SUM(B7:M7))</f>
        <v>2318182.87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7" t="str">
        <f ca="1">IFERROR(__xludf.DUMMYFUNCTION("""COMPUTED_VALUE"""),"Bebidas")</f>
        <v>Bebidas</v>
      </c>
      <c r="B8" s="13">
        <f ca="1">IFERROR(__xludf.DUMMYFUNCTION("""COMPUTED_VALUE"""),416592.1)</f>
        <v>416592.1</v>
      </c>
      <c r="C8" s="3">
        <f ca="1">IFERROR(__xludf.DUMMYFUNCTION("""COMPUTED_VALUE"""),0)</f>
        <v>0</v>
      </c>
      <c r="D8" s="3">
        <f ca="1">IFERROR(__xludf.DUMMYFUNCTION("""COMPUTED_VALUE"""),0)</f>
        <v>0</v>
      </c>
      <c r="E8" s="3">
        <f ca="1">IFERROR(__xludf.DUMMYFUNCTION("""COMPUTED_VALUE"""),0)</f>
        <v>0</v>
      </c>
      <c r="F8" s="3">
        <f ca="1">IFERROR(__xludf.DUMMYFUNCTION("""COMPUTED_VALUE"""),0)</f>
        <v>0</v>
      </c>
      <c r="G8" s="3">
        <f ca="1">IFERROR(__xludf.DUMMYFUNCTION("""COMPUTED_VALUE"""),0)</f>
        <v>0</v>
      </c>
      <c r="H8" s="3">
        <f ca="1">IFERROR(__xludf.DUMMYFUNCTION("""COMPUTED_VALUE"""),0)</f>
        <v>0</v>
      </c>
      <c r="I8" s="3">
        <f ca="1">IFERROR(__xludf.DUMMYFUNCTION("""COMPUTED_VALUE"""),0)</f>
        <v>0</v>
      </c>
      <c r="J8" s="3">
        <f ca="1">IFERROR(__xludf.DUMMYFUNCTION("""COMPUTED_VALUE"""),0)</f>
        <v>0</v>
      </c>
      <c r="K8" s="3">
        <f ca="1">IFERROR(__xludf.DUMMYFUNCTION("""COMPUTED_VALUE"""),0)</f>
        <v>0</v>
      </c>
      <c r="L8" s="3">
        <f ca="1">IFERROR(__xludf.DUMMYFUNCTION("""COMPUTED_VALUE"""),0)</f>
        <v>0</v>
      </c>
      <c r="M8" s="3">
        <f ca="1">IFERROR(__xludf.DUMMYFUNCTION("""COMPUTED_VALUE"""),0)</f>
        <v>0</v>
      </c>
      <c r="N8" s="12">
        <f ca="1">IF(M8="",, SUM(B8:M8))</f>
        <v>416592.1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7" t="str">
        <f ca="1">IFERROR(__xludf.DUMMYFUNCTION("""COMPUTED_VALUE"""),"Café Inf")</f>
        <v>Café Inf</v>
      </c>
      <c r="B9" s="13">
        <f ca="1">IFERROR(__xludf.DUMMYFUNCTION("""COMPUTED_VALUE"""),27135.5)</f>
        <v>27135.5</v>
      </c>
      <c r="C9" s="3">
        <f ca="1">IFERROR(__xludf.DUMMYFUNCTION("""COMPUTED_VALUE"""),0)</f>
        <v>0</v>
      </c>
      <c r="D9" s="3">
        <f ca="1">IFERROR(__xludf.DUMMYFUNCTION("""COMPUTED_VALUE"""),0)</f>
        <v>0</v>
      </c>
      <c r="E9" s="3">
        <f ca="1">IFERROR(__xludf.DUMMYFUNCTION("""COMPUTED_VALUE"""),0)</f>
        <v>0</v>
      </c>
      <c r="F9" s="3">
        <f ca="1">IFERROR(__xludf.DUMMYFUNCTION("""COMPUTED_VALUE"""),0)</f>
        <v>0</v>
      </c>
      <c r="G9" s="3">
        <f ca="1">IFERROR(__xludf.DUMMYFUNCTION("""COMPUTED_VALUE"""),0)</f>
        <v>0</v>
      </c>
      <c r="H9" s="3">
        <f ca="1">IFERROR(__xludf.DUMMYFUNCTION("""COMPUTED_VALUE"""),0)</f>
        <v>0</v>
      </c>
      <c r="I9" s="3">
        <f ca="1">IFERROR(__xludf.DUMMYFUNCTION("""COMPUTED_VALUE"""),0)</f>
        <v>0</v>
      </c>
      <c r="J9" s="3">
        <f ca="1">IFERROR(__xludf.DUMMYFUNCTION("""COMPUTED_VALUE"""),0)</f>
        <v>0</v>
      </c>
      <c r="K9" s="3">
        <f ca="1">IFERROR(__xludf.DUMMYFUNCTION("""COMPUTED_VALUE"""),0)</f>
        <v>0</v>
      </c>
      <c r="L9" s="3">
        <f ca="1">IFERROR(__xludf.DUMMYFUNCTION("""COMPUTED_VALUE"""),0)</f>
        <v>0</v>
      </c>
      <c r="M9" s="3">
        <f ca="1">IFERROR(__xludf.DUMMYFUNCTION("""COMPUTED_VALUE"""),0)</f>
        <v>0</v>
      </c>
      <c r="N9" s="12">
        <f ca="1">IF(M9="",, SUM(B9:M9))</f>
        <v>27135.5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7" t="str">
        <f ca="1">IFERROR(__xludf.DUMMYFUNCTION("""COMPUTED_VALUE"""),"Destilados")</f>
        <v>Destilados</v>
      </c>
      <c r="B10" s="13">
        <f ca="1">IFERROR(__xludf.DUMMYFUNCTION("""COMPUTED_VALUE"""),312036.989999999)</f>
        <v>312036.989999999</v>
      </c>
      <c r="C10" s="3">
        <f ca="1">IFERROR(__xludf.DUMMYFUNCTION("""COMPUTED_VALUE"""),0)</f>
        <v>0</v>
      </c>
      <c r="D10" s="3">
        <f ca="1">IFERROR(__xludf.DUMMYFUNCTION("""COMPUTED_VALUE"""),0)</f>
        <v>0</v>
      </c>
      <c r="E10" s="3">
        <f ca="1">IFERROR(__xludf.DUMMYFUNCTION("""COMPUTED_VALUE"""),0)</f>
        <v>0</v>
      </c>
      <c r="F10" s="3">
        <f ca="1">IFERROR(__xludf.DUMMYFUNCTION("""COMPUTED_VALUE"""),0)</f>
        <v>0</v>
      </c>
      <c r="G10" s="3">
        <f ca="1">IFERROR(__xludf.DUMMYFUNCTION("""COMPUTED_VALUE"""),0)</f>
        <v>0</v>
      </c>
      <c r="H10" s="3">
        <f ca="1">IFERROR(__xludf.DUMMYFUNCTION("""COMPUTED_VALUE"""),0)</f>
        <v>0</v>
      </c>
      <c r="I10" s="3">
        <f ca="1">IFERROR(__xludf.DUMMYFUNCTION("""COMPUTED_VALUE"""),0)</f>
        <v>0</v>
      </c>
      <c r="J10" s="3">
        <f ca="1">IFERROR(__xludf.DUMMYFUNCTION("""COMPUTED_VALUE"""),0)</f>
        <v>0</v>
      </c>
      <c r="K10" s="3">
        <f ca="1">IFERROR(__xludf.DUMMYFUNCTION("""COMPUTED_VALUE"""),0)</f>
        <v>0</v>
      </c>
      <c r="L10" s="3">
        <f ca="1">IFERROR(__xludf.DUMMYFUNCTION("""COMPUTED_VALUE"""),0)</f>
        <v>0</v>
      </c>
      <c r="M10" s="3">
        <f ca="1">IFERROR(__xludf.DUMMYFUNCTION("""COMPUTED_VALUE"""),0)</f>
        <v>0</v>
      </c>
      <c r="N10" s="12">
        <f ca="1">IF(M10="",, SUM(B10:M10))</f>
        <v>312036.989999999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7" t="str">
        <f ca="1">IFERROR(__xludf.DUMMYFUNCTION("""COMPUTED_VALUE"""),"Vinos")</f>
        <v>Vinos</v>
      </c>
      <c r="B11" s="13">
        <f ca="1">IFERROR(__xludf.DUMMYFUNCTION("""COMPUTED_VALUE"""),90831.26)</f>
        <v>90831.26</v>
      </c>
      <c r="C11" s="3">
        <f ca="1">IFERROR(__xludf.DUMMYFUNCTION("""COMPUTED_VALUE"""),0)</f>
        <v>0</v>
      </c>
      <c r="D11" s="3">
        <f ca="1">IFERROR(__xludf.DUMMYFUNCTION("""COMPUTED_VALUE"""),0)</f>
        <v>0</v>
      </c>
      <c r="E11" s="3">
        <f ca="1">IFERROR(__xludf.DUMMYFUNCTION("""COMPUTED_VALUE"""),0)</f>
        <v>0</v>
      </c>
      <c r="F11" s="3">
        <f ca="1">IFERROR(__xludf.DUMMYFUNCTION("""COMPUTED_VALUE"""),0)</f>
        <v>0</v>
      </c>
      <c r="G11" s="3">
        <f ca="1">IFERROR(__xludf.DUMMYFUNCTION("""COMPUTED_VALUE"""),0)</f>
        <v>0</v>
      </c>
      <c r="H11" s="3">
        <f ca="1">IFERROR(__xludf.DUMMYFUNCTION("""COMPUTED_VALUE"""),0)</f>
        <v>0</v>
      </c>
      <c r="I11" s="3">
        <f ca="1">IFERROR(__xludf.DUMMYFUNCTION("""COMPUTED_VALUE"""),0)</f>
        <v>0</v>
      </c>
      <c r="J11" s="3">
        <f ca="1">IFERROR(__xludf.DUMMYFUNCTION("""COMPUTED_VALUE"""),0)</f>
        <v>0</v>
      </c>
      <c r="K11" s="3">
        <f ca="1">IFERROR(__xludf.DUMMYFUNCTION("""COMPUTED_VALUE"""),0)</f>
        <v>0</v>
      </c>
      <c r="L11" s="3">
        <f ca="1">IFERROR(__xludf.DUMMYFUNCTION("""COMPUTED_VALUE"""),0)</f>
        <v>0</v>
      </c>
      <c r="M11" s="3">
        <f ca="1">IFERROR(__xludf.DUMMYFUNCTION("""COMPUTED_VALUE"""),0)</f>
        <v>0</v>
      </c>
      <c r="N11" s="12">
        <f ca="1">IF(M11="",, SUM(B11:M11))</f>
        <v>90831.26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7" t="str">
        <f ca="1">IFERROR(__xludf.DUMMYFUNCTION("""COMPUTED_VALUE"""),"")</f>
        <v/>
      </c>
      <c r="B12" s="13" t="str">
        <f ca="1">IFERROR(__xludf.DUMMYFUNCTION("""COMPUTED_VALUE"""),"")</f>
        <v/>
      </c>
      <c r="C12" s="3" t="str">
        <f ca="1">IFERROR(__xludf.DUMMYFUNCTION("""COMPUTED_VALUE"""),"")</f>
        <v/>
      </c>
      <c r="D12" s="3" t="str">
        <f ca="1">IFERROR(__xludf.DUMMYFUNCTION("""COMPUTED_VALUE"""),"")</f>
        <v/>
      </c>
      <c r="E12" s="3" t="str">
        <f ca="1">IFERROR(__xludf.DUMMYFUNCTION("""COMPUTED_VALUE"""),"")</f>
        <v/>
      </c>
      <c r="F12" s="3" t="str">
        <f ca="1">IFERROR(__xludf.DUMMYFUNCTION("""COMPUTED_VALUE"""),"")</f>
        <v/>
      </c>
      <c r="G12" s="3" t="str">
        <f ca="1">IFERROR(__xludf.DUMMYFUNCTION("""COMPUTED_VALUE"""),"")</f>
        <v/>
      </c>
      <c r="H12" s="3" t="str">
        <f ca="1">IFERROR(__xludf.DUMMYFUNCTION("""COMPUTED_VALUE"""),"")</f>
        <v/>
      </c>
      <c r="I12" s="3" t="str">
        <f ca="1">IFERROR(__xludf.DUMMYFUNCTION("""COMPUTED_VALUE"""),"")</f>
        <v/>
      </c>
      <c r="J12" s="3" t="str">
        <f ca="1">IFERROR(__xludf.DUMMYFUNCTION("""COMPUTED_VALUE"""),"")</f>
        <v/>
      </c>
      <c r="K12" s="3" t="str">
        <f ca="1">IFERROR(__xludf.DUMMYFUNCTION("""COMPUTED_VALUE"""),"")</f>
        <v/>
      </c>
      <c r="L12" s="3" t="str">
        <f ca="1">IFERROR(__xludf.DUMMYFUNCTION("""COMPUTED_VALUE"""),"")</f>
        <v/>
      </c>
      <c r="M12" s="3" t="str">
        <f ca="1">IFERROR(__xludf.DUMMYFUNCTION("""COMPUTED_VALUE"""),"")</f>
        <v/>
      </c>
      <c r="N12" s="12">
        <f ca="1">IF(M12="",, SUM(B12:M12))</f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7" t="str">
        <f ca="1">IFERROR(__xludf.DUMMYFUNCTION("""COMPUTED_VALUE"""),"B")</f>
        <v>B</v>
      </c>
      <c r="B13" s="13">
        <f ca="1">IFERROR(__xludf.DUMMYFUNCTION("""COMPUTED_VALUE"""),2392550.65)</f>
        <v>2392550.65</v>
      </c>
      <c r="C13" s="3">
        <f ca="1">IFERROR(__xludf.DUMMYFUNCTION("""COMPUTED_VALUE"""),0)</f>
        <v>0</v>
      </c>
      <c r="D13" s="3">
        <f ca="1">IFERROR(__xludf.DUMMYFUNCTION("""COMPUTED_VALUE"""),0)</f>
        <v>0</v>
      </c>
      <c r="E13" s="3">
        <f ca="1">IFERROR(__xludf.DUMMYFUNCTION("""COMPUTED_VALUE"""),0)</f>
        <v>0</v>
      </c>
      <c r="F13" s="3">
        <f ca="1">IFERROR(__xludf.DUMMYFUNCTION("""COMPUTED_VALUE"""),0)</f>
        <v>0</v>
      </c>
      <c r="G13" s="3">
        <f ca="1">IFERROR(__xludf.DUMMYFUNCTION("""COMPUTED_VALUE"""),0)</f>
        <v>0</v>
      </c>
      <c r="H13" s="3">
        <f ca="1">IFERROR(__xludf.DUMMYFUNCTION("""COMPUTED_VALUE"""),0)</f>
        <v>0</v>
      </c>
      <c r="I13" s="3">
        <f ca="1">IFERROR(__xludf.DUMMYFUNCTION("""COMPUTED_VALUE"""),0)</f>
        <v>0</v>
      </c>
      <c r="J13" s="3">
        <f ca="1">IFERROR(__xludf.DUMMYFUNCTION("""COMPUTED_VALUE"""),0)</f>
        <v>0</v>
      </c>
      <c r="K13" s="3">
        <f ca="1">IFERROR(__xludf.DUMMYFUNCTION("""COMPUTED_VALUE"""),0)</f>
        <v>0</v>
      </c>
      <c r="L13" s="3">
        <f ca="1">IFERROR(__xludf.DUMMYFUNCTION("""COMPUTED_VALUE"""),0)</f>
        <v>0</v>
      </c>
      <c r="M13" s="3">
        <f ca="1">IFERROR(__xludf.DUMMYFUNCTION("""COMPUTED_VALUE"""),0)</f>
        <v>0</v>
      </c>
      <c r="N13" s="12">
        <f ca="1">IF(M13="",, SUM(B13:M13))</f>
        <v>2392550.65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7" t="str">
        <f ca="1">IFERROR(__xludf.DUMMYFUNCTION("""COMPUTED_VALUE"""),"")</f>
        <v/>
      </c>
      <c r="B14" s="13" t="str">
        <f ca="1">IFERROR(__xludf.DUMMYFUNCTION("""COMPUTED_VALUE"""),"")</f>
        <v/>
      </c>
      <c r="C14" s="3" t="str">
        <f ca="1">IFERROR(__xludf.DUMMYFUNCTION("""COMPUTED_VALUE"""),"")</f>
        <v/>
      </c>
      <c r="D14" s="3" t="str">
        <f ca="1">IFERROR(__xludf.DUMMYFUNCTION("""COMPUTED_VALUE"""),"")</f>
        <v/>
      </c>
      <c r="E14" s="3" t="str">
        <f ca="1">IFERROR(__xludf.DUMMYFUNCTION("""COMPUTED_VALUE"""),"")</f>
        <v/>
      </c>
      <c r="F14" s="3" t="str">
        <f ca="1">IFERROR(__xludf.DUMMYFUNCTION("""COMPUTED_VALUE"""),"")</f>
        <v/>
      </c>
      <c r="G14" s="3" t="str">
        <f ca="1">IFERROR(__xludf.DUMMYFUNCTION("""COMPUTED_VALUE"""),"")</f>
        <v/>
      </c>
      <c r="H14" s="3" t="str">
        <f ca="1">IFERROR(__xludf.DUMMYFUNCTION("""COMPUTED_VALUE"""),"")</f>
        <v/>
      </c>
      <c r="I14" s="3" t="str">
        <f ca="1">IFERROR(__xludf.DUMMYFUNCTION("""COMPUTED_VALUE"""),"")</f>
        <v/>
      </c>
      <c r="J14" s="3" t="str">
        <f ca="1">IFERROR(__xludf.DUMMYFUNCTION("""COMPUTED_VALUE"""),"")</f>
        <v/>
      </c>
      <c r="K14" s="3" t="str">
        <f ca="1">IFERROR(__xludf.DUMMYFUNCTION("""COMPUTED_VALUE"""),"")</f>
        <v/>
      </c>
      <c r="L14" s="3" t="str">
        <f ca="1">IFERROR(__xludf.DUMMYFUNCTION("""COMPUTED_VALUE"""),"")</f>
        <v/>
      </c>
      <c r="M14" s="3" t="str">
        <f ca="1">IFERROR(__xludf.DUMMYFUNCTION("""COMPUTED_VALUE"""),"")</f>
        <v/>
      </c>
      <c r="N14" s="12">
        <f ca="1">IF(M14="",, SUM(B14:M14))</f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7" t="str">
        <f ca="1">IFERROR(__xludf.DUMMYFUNCTION("""COMPUTED_VALUE"""),"Alimentos")</f>
        <v>Alimentos</v>
      </c>
      <c r="B15" s="13">
        <f ca="1">IFERROR(__xludf.DUMMYFUNCTION("""COMPUTED_VALUE"""),1741017.58999999)</f>
        <v>1741017.5899999901</v>
      </c>
      <c r="C15" s="3">
        <f ca="1">IFERROR(__xludf.DUMMYFUNCTION("""COMPUTED_VALUE"""),0)</f>
        <v>0</v>
      </c>
      <c r="D15" s="3">
        <f ca="1">IFERROR(__xludf.DUMMYFUNCTION("""COMPUTED_VALUE"""),0)</f>
        <v>0</v>
      </c>
      <c r="E15" s="3">
        <f ca="1">IFERROR(__xludf.DUMMYFUNCTION("""COMPUTED_VALUE"""),0)</f>
        <v>0</v>
      </c>
      <c r="F15" s="3">
        <f ca="1">IFERROR(__xludf.DUMMYFUNCTION("""COMPUTED_VALUE"""),0)</f>
        <v>0</v>
      </c>
      <c r="G15" s="3">
        <f ca="1">IFERROR(__xludf.DUMMYFUNCTION("""COMPUTED_VALUE"""),0)</f>
        <v>0</v>
      </c>
      <c r="H15" s="3">
        <f ca="1">IFERROR(__xludf.DUMMYFUNCTION("""COMPUTED_VALUE"""),0)</f>
        <v>0</v>
      </c>
      <c r="I15" s="3">
        <f ca="1">IFERROR(__xludf.DUMMYFUNCTION("""COMPUTED_VALUE"""),0)</f>
        <v>0</v>
      </c>
      <c r="J15" s="3">
        <f ca="1">IFERROR(__xludf.DUMMYFUNCTION("""COMPUTED_VALUE"""),0)</f>
        <v>0</v>
      </c>
      <c r="K15" s="3">
        <f ca="1">IFERROR(__xludf.DUMMYFUNCTION("""COMPUTED_VALUE"""),0)</f>
        <v>0</v>
      </c>
      <c r="L15" s="3">
        <f ca="1">IFERROR(__xludf.DUMMYFUNCTION("""COMPUTED_VALUE"""),0)</f>
        <v>0</v>
      </c>
      <c r="M15" s="3">
        <f ca="1">IFERROR(__xludf.DUMMYFUNCTION("""COMPUTED_VALUE"""),0)</f>
        <v>0</v>
      </c>
      <c r="N15" s="12">
        <f ca="1">IF(M15="",, SUM(B15:M15))</f>
        <v>1741017.5899999901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7" t="str">
        <f ca="1">IFERROR(__xludf.DUMMYFUNCTION("""COMPUTED_VALUE"""),"Bebidas")</f>
        <v>Bebidas</v>
      </c>
      <c r="B16" s="13">
        <f ca="1">IFERROR(__xludf.DUMMYFUNCTION("""COMPUTED_VALUE"""),257753.769999999)</f>
        <v>257753.769999999</v>
      </c>
      <c r="C16" s="3">
        <f ca="1">IFERROR(__xludf.DUMMYFUNCTION("""COMPUTED_VALUE"""),0)</f>
        <v>0</v>
      </c>
      <c r="D16" s="3">
        <f ca="1">IFERROR(__xludf.DUMMYFUNCTION("""COMPUTED_VALUE"""),0)</f>
        <v>0</v>
      </c>
      <c r="E16" s="3">
        <f ca="1">IFERROR(__xludf.DUMMYFUNCTION("""COMPUTED_VALUE"""),0)</f>
        <v>0</v>
      </c>
      <c r="F16" s="3">
        <f ca="1">IFERROR(__xludf.DUMMYFUNCTION("""COMPUTED_VALUE"""),0)</f>
        <v>0</v>
      </c>
      <c r="G16" s="3">
        <f ca="1">IFERROR(__xludf.DUMMYFUNCTION("""COMPUTED_VALUE"""),0)</f>
        <v>0</v>
      </c>
      <c r="H16" s="3">
        <f ca="1">IFERROR(__xludf.DUMMYFUNCTION("""COMPUTED_VALUE"""),0)</f>
        <v>0</v>
      </c>
      <c r="I16" s="3">
        <f ca="1">IFERROR(__xludf.DUMMYFUNCTION("""COMPUTED_VALUE"""),0)</f>
        <v>0</v>
      </c>
      <c r="J16" s="3">
        <f ca="1">IFERROR(__xludf.DUMMYFUNCTION("""COMPUTED_VALUE"""),0)</f>
        <v>0</v>
      </c>
      <c r="K16" s="3">
        <f ca="1">IFERROR(__xludf.DUMMYFUNCTION("""COMPUTED_VALUE"""),0)</f>
        <v>0</v>
      </c>
      <c r="L16" s="3">
        <f ca="1">IFERROR(__xludf.DUMMYFUNCTION("""COMPUTED_VALUE"""),0)</f>
        <v>0</v>
      </c>
      <c r="M16" s="3">
        <f ca="1">IFERROR(__xludf.DUMMYFUNCTION("""COMPUTED_VALUE"""),0)</f>
        <v>0</v>
      </c>
      <c r="N16" s="12">
        <f ca="1">IF(M16="",, SUM(B16:M16))</f>
        <v>257753.769999999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7" t="str">
        <f ca="1">IFERROR(__xludf.DUMMYFUNCTION("""COMPUTED_VALUE"""),"Café Inf")</f>
        <v>Café Inf</v>
      </c>
      <c r="B17" s="13">
        <f ca="1">IFERROR(__xludf.DUMMYFUNCTION("""COMPUTED_VALUE"""),24625.0799999999)</f>
        <v>24625.0799999999</v>
      </c>
      <c r="C17" s="3">
        <f ca="1">IFERROR(__xludf.DUMMYFUNCTION("""COMPUTED_VALUE"""),0)</f>
        <v>0</v>
      </c>
      <c r="D17" s="3">
        <f ca="1">IFERROR(__xludf.DUMMYFUNCTION("""COMPUTED_VALUE"""),0)</f>
        <v>0</v>
      </c>
      <c r="E17" s="3">
        <f ca="1">IFERROR(__xludf.DUMMYFUNCTION("""COMPUTED_VALUE"""),0)</f>
        <v>0</v>
      </c>
      <c r="F17" s="3">
        <f ca="1">IFERROR(__xludf.DUMMYFUNCTION("""COMPUTED_VALUE"""),0)</f>
        <v>0</v>
      </c>
      <c r="G17" s="3">
        <f ca="1">IFERROR(__xludf.DUMMYFUNCTION("""COMPUTED_VALUE"""),0)</f>
        <v>0</v>
      </c>
      <c r="H17" s="3">
        <f ca="1">IFERROR(__xludf.DUMMYFUNCTION("""COMPUTED_VALUE"""),0)</f>
        <v>0</v>
      </c>
      <c r="I17" s="3">
        <f ca="1">IFERROR(__xludf.DUMMYFUNCTION("""COMPUTED_VALUE"""),0)</f>
        <v>0</v>
      </c>
      <c r="J17" s="3">
        <f ca="1">IFERROR(__xludf.DUMMYFUNCTION("""COMPUTED_VALUE"""),0)</f>
        <v>0</v>
      </c>
      <c r="K17" s="3">
        <f ca="1">IFERROR(__xludf.DUMMYFUNCTION("""COMPUTED_VALUE"""),0)</f>
        <v>0</v>
      </c>
      <c r="L17" s="3">
        <f ca="1">IFERROR(__xludf.DUMMYFUNCTION("""COMPUTED_VALUE"""),0)</f>
        <v>0</v>
      </c>
      <c r="M17" s="3">
        <f ca="1">IFERROR(__xludf.DUMMYFUNCTION("""COMPUTED_VALUE"""),0)</f>
        <v>0</v>
      </c>
      <c r="N17" s="12">
        <f ca="1">IF(M17="",, SUM(B17:M17))</f>
        <v>24625.0799999999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7" t="str">
        <f ca="1">IFERROR(__xludf.DUMMYFUNCTION("""COMPUTED_VALUE"""),"Destilados")</f>
        <v>Destilados</v>
      </c>
      <c r="B18" s="13">
        <f ca="1">IFERROR(__xludf.DUMMYFUNCTION("""COMPUTED_VALUE"""),303939.95)</f>
        <v>303939.95</v>
      </c>
      <c r="C18" s="3">
        <f ca="1">IFERROR(__xludf.DUMMYFUNCTION("""COMPUTED_VALUE"""),0)</f>
        <v>0</v>
      </c>
      <c r="D18" s="3">
        <f ca="1">IFERROR(__xludf.DUMMYFUNCTION("""COMPUTED_VALUE"""),0)</f>
        <v>0</v>
      </c>
      <c r="E18" s="3">
        <f ca="1">IFERROR(__xludf.DUMMYFUNCTION("""COMPUTED_VALUE"""),0)</f>
        <v>0</v>
      </c>
      <c r="F18" s="3">
        <f ca="1">IFERROR(__xludf.DUMMYFUNCTION("""COMPUTED_VALUE"""),0)</f>
        <v>0</v>
      </c>
      <c r="G18" s="3">
        <f ca="1">IFERROR(__xludf.DUMMYFUNCTION("""COMPUTED_VALUE"""),0)</f>
        <v>0</v>
      </c>
      <c r="H18" s="3">
        <f ca="1">IFERROR(__xludf.DUMMYFUNCTION("""COMPUTED_VALUE"""),0)</f>
        <v>0</v>
      </c>
      <c r="I18" s="3">
        <f ca="1">IFERROR(__xludf.DUMMYFUNCTION("""COMPUTED_VALUE"""),0)</f>
        <v>0</v>
      </c>
      <c r="J18" s="3">
        <f ca="1">IFERROR(__xludf.DUMMYFUNCTION("""COMPUTED_VALUE"""),0)</f>
        <v>0</v>
      </c>
      <c r="K18" s="3">
        <f ca="1">IFERROR(__xludf.DUMMYFUNCTION("""COMPUTED_VALUE"""),0)</f>
        <v>0</v>
      </c>
      <c r="L18" s="3">
        <f ca="1">IFERROR(__xludf.DUMMYFUNCTION("""COMPUTED_VALUE"""),0)</f>
        <v>0</v>
      </c>
      <c r="M18" s="3">
        <f ca="1">IFERROR(__xludf.DUMMYFUNCTION("""COMPUTED_VALUE"""),0)</f>
        <v>0</v>
      </c>
      <c r="N18" s="12">
        <f ca="1">IF(M18="",, SUM(B18:M18))</f>
        <v>303939.95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7" t="str">
        <f ca="1">IFERROR(__xludf.DUMMYFUNCTION("""COMPUTED_VALUE"""),"Vinos")</f>
        <v>Vinos</v>
      </c>
      <c r="B19" s="13">
        <f ca="1">IFERROR(__xludf.DUMMYFUNCTION("""COMPUTED_VALUE"""),65214.26)</f>
        <v>65214.26</v>
      </c>
      <c r="C19" s="3">
        <f ca="1">IFERROR(__xludf.DUMMYFUNCTION("""COMPUTED_VALUE"""),0)</f>
        <v>0</v>
      </c>
      <c r="D19" s="3">
        <f ca="1">IFERROR(__xludf.DUMMYFUNCTION("""COMPUTED_VALUE"""),0)</f>
        <v>0</v>
      </c>
      <c r="E19" s="3">
        <f ca="1">IFERROR(__xludf.DUMMYFUNCTION("""COMPUTED_VALUE"""),0)</f>
        <v>0</v>
      </c>
      <c r="F19" s="3">
        <f ca="1">IFERROR(__xludf.DUMMYFUNCTION("""COMPUTED_VALUE"""),0)</f>
        <v>0</v>
      </c>
      <c r="G19" s="3">
        <f ca="1">IFERROR(__xludf.DUMMYFUNCTION("""COMPUTED_VALUE"""),0)</f>
        <v>0</v>
      </c>
      <c r="H19" s="3">
        <f ca="1">IFERROR(__xludf.DUMMYFUNCTION("""COMPUTED_VALUE"""),0)</f>
        <v>0</v>
      </c>
      <c r="I19" s="3">
        <f ca="1">IFERROR(__xludf.DUMMYFUNCTION("""COMPUTED_VALUE"""),0)</f>
        <v>0</v>
      </c>
      <c r="J19" s="3">
        <f ca="1">IFERROR(__xludf.DUMMYFUNCTION("""COMPUTED_VALUE"""),0)</f>
        <v>0</v>
      </c>
      <c r="K19" s="3">
        <f ca="1">IFERROR(__xludf.DUMMYFUNCTION("""COMPUTED_VALUE"""),0)</f>
        <v>0</v>
      </c>
      <c r="L19" s="3">
        <f ca="1">IFERROR(__xludf.DUMMYFUNCTION("""COMPUTED_VALUE"""),0)</f>
        <v>0</v>
      </c>
      <c r="M19" s="3">
        <f ca="1">IFERROR(__xludf.DUMMYFUNCTION("""COMPUTED_VALUE"""),0)</f>
        <v>0</v>
      </c>
      <c r="N19" s="12">
        <f ca="1">IF(M19="",, SUM(B19:M19))</f>
        <v>65214.26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7" t="str">
        <f ca="1">IFERROR(__xludf.DUMMYFUNCTION("""COMPUTED_VALUE"""),"")</f>
        <v/>
      </c>
      <c r="B20" s="13" t="str">
        <f ca="1">IFERROR(__xludf.DUMMYFUNCTION("""COMPUTED_VALUE"""),"")</f>
        <v/>
      </c>
      <c r="C20" s="3" t="str">
        <f ca="1">IFERROR(__xludf.DUMMYFUNCTION("""COMPUTED_VALUE"""),"")</f>
        <v/>
      </c>
      <c r="D20" s="3" t="str">
        <f ca="1">IFERROR(__xludf.DUMMYFUNCTION("""COMPUTED_VALUE"""),"")</f>
        <v/>
      </c>
      <c r="E20" s="3" t="str">
        <f ca="1">IFERROR(__xludf.DUMMYFUNCTION("""COMPUTED_VALUE"""),"")</f>
        <v/>
      </c>
      <c r="F20" s="3" t="str">
        <f ca="1">IFERROR(__xludf.DUMMYFUNCTION("""COMPUTED_VALUE"""),"")</f>
        <v/>
      </c>
      <c r="G20" s="3" t="str">
        <f ca="1">IFERROR(__xludf.DUMMYFUNCTION("""COMPUTED_VALUE"""),"")</f>
        <v/>
      </c>
      <c r="H20" s="3" t="str">
        <f ca="1">IFERROR(__xludf.DUMMYFUNCTION("""COMPUTED_VALUE"""),"")</f>
        <v/>
      </c>
      <c r="I20" s="3" t="str">
        <f ca="1">IFERROR(__xludf.DUMMYFUNCTION("""COMPUTED_VALUE"""),"")</f>
        <v/>
      </c>
      <c r="J20" s="3" t="str">
        <f ca="1">IFERROR(__xludf.DUMMYFUNCTION("""COMPUTED_VALUE"""),"")</f>
        <v/>
      </c>
      <c r="K20" s="3" t="str">
        <f ca="1">IFERROR(__xludf.DUMMYFUNCTION("""COMPUTED_VALUE"""),"")</f>
        <v/>
      </c>
      <c r="L20" s="3" t="str">
        <f ca="1">IFERROR(__xludf.DUMMYFUNCTION("""COMPUTED_VALUE"""),"")</f>
        <v/>
      </c>
      <c r="M20" s="3" t="str">
        <f ca="1">IFERROR(__xludf.DUMMYFUNCTION("""COMPUTED_VALUE"""),"")</f>
        <v/>
      </c>
      <c r="N20" s="12">
        <f ca="1">IF(M20="",, SUM(B20:M20))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7" t="str">
        <f ca="1">IFERROR(__xludf.DUMMYFUNCTION("""COMPUTED_VALUE"""),"C")</f>
        <v>C</v>
      </c>
      <c r="B21" s="13">
        <f ca="1">IFERROR(__xludf.DUMMYFUNCTION("""COMPUTED_VALUE"""),1139072.01)</f>
        <v>1139072.01</v>
      </c>
      <c r="C21" s="3">
        <f ca="1">IFERROR(__xludf.DUMMYFUNCTION("""COMPUTED_VALUE"""),0)</f>
        <v>0</v>
      </c>
      <c r="D21" s="3">
        <f ca="1">IFERROR(__xludf.DUMMYFUNCTION("""COMPUTED_VALUE"""),0)</f>
        <v>0</v>
      </c>
      <c r="E21" s="3">
        <f ca="1">IFERROR(__xludf.DUMMYFUNCTION("""COMPUTED_VALUE"""),0)</f>
        <v>0</v>
      </c>
      <c r="F21" s="3">
        <f ca="1">IFERROR(__xludf.DUMMYFUNCTION("""COMPUTED_VALUE"""),0)</f>
        <v>0</v>
      </c>
      <c r="G21" s="3">
        <f ca="1">IFERROR(__xludf.DUMMYFUNCTION("""COMPUTED_VALUE"""),0)</f>
        <v>0</v>
      </c>
      <c r="H21" s="3">
        <f ca="1">IFERROR(__xludf.DUMMYFUNCTION("""COMPUTED_VALUE"""),0)</f>
        <v>0</v>
      </c>
      <c r="I21" s="3">
        <f ca="1">IFERROR(__xludf.DUMMYFUNCTION("""COMPUTED_VALUE"""),0)</f>
        <v>0</v>
      </c>
      <c r="J21" s="3">
        <f ca="1">IFERROR(__xludf.DUMMYFUNCTION("""COMPUTED_VALUE"""),0)</f>
        <v>0</v>
      </c>
      <c r="K21" s="3">
        <f ca="1">IFERROR(__xludf.DUMMYFUNCTION("""COMPUTED_VALUE"""),0)</f>
        <v>0</v>
      </c>
      <c r="L21" s="3">
        <f ca="1">IFERROR(__xludf.DUMMYFUNCTION("""COMPUTED_VALUE"""),0)</f>
        <v>0</v>
      </c>
      <c r="M21" s="3">
        <f ca="1">IFERROR(__xludf.DUMMYFUNCTION("""COMPUTED_VALUE"""),0)</f>
        <v>0</v>
      </c>
      <c r="N21" s="12">
        <f ca="1">IF(M21="",, SUM(B21:M21))</f>
        <v>1139072.01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7" t="str">
        <f ca="1">IFERROR(__xludf.DUMMYFUNCTION("""COMPUTED_VALUE"""),"")</f>
        <v/>
      </c>
      <c r="B22" s="13" t="str">
        <f ca="1">IFERROR(__xludf.DUMMYFUNCTION("""COMPUTED_VALUE"""),"")</f>
        <v/>
      </c>
      <c r="C22" s="3" t="str">
        <f ca="1">IFERROR(__xludf.DUMMYFUNCTION("""COMPUTED_VALUE"""),"")</f>
        <v/>
      </c>
      <c r="D22" s="3" t="str">
        <f ca="1">IFERROR(__xludf.DUMMYFUNCTION("""COMPUTED_VALUE"""),"")</f>
        <v/>
      </c>
      <c r="E22" s="3" t="str">
        <f ca="1">IFERROR(__xludf.DUMMYFUNCTION("""COMPUTED_VALUE"""),"")</f>
        <v/>
      </c>
      <c r="F22" s="3" t="str">
        <f ca="1">IFERROR(__xludf.DUMMYFUNCTION("""COMPUTED_VALUE"""),"")</f>
        <v/>
      </c>
      <c r="G22" s="3" t="str">
        <f ca="1">IFERROR(__xludf.DUMMYFUNCTION("""COMPUTED_VALUE"""),"")</f>
        <v/>
      </c>
      <c r="H22" s="3" t="str">
        <f ca="1">IFERROR(__xludf.DUMMYFUNCTION("""COMPUTED_VALUE"""),"")</f>
        <v/>
      </c>
      <c r="I22" s="3" t="str">
        <f ca="1">IFERROR(__xludf.DUMMYFUNCTION("""COMPUTED_VALUE"""),"")</f>
        <v/>
      </c>
      <c r="J22" s="3" t="str">
        <f ca="1">IFERROR(__xludf.DUMMYFUNCTION("""COMPUTED_VALUE"""),"")</f>
        <v/>
      </c>
      <c r="K22" s="3" t="str">
        <f ca="1">IFERROR(__xludf.DUMMYFUNCTION("""COMPUTED_VALUE"""),"")</f>
        <v/>
      </c>
      <c r="L22" s="3" t="str">
        <f ca="1">IFERROR(__xludf.DUMMYFUNCTION("""COMPUTED_VALUE"""),"")</f>
        <v/>
      </c>
      <c r="M22" s="3" t="str">
        <f ca="1">IFERROR(__xludf.DUMMYFUNCTION("""COMPUTED_VALUE"""),"")</f>
        <v/>
      </c>
      <c r="N22" s="12">
        <f ca="1">IF(M22="",, SUM(B22:M22))</f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7" t="str">
        <f ca="1">IFERROR(__xludf.DUMMYFUNCTION("""COMPUTED_VALUE"""),"Alimentos")</f>
        <v>Alimentos</v>
      </c>
      <c r="B23" s="13">
        <f ca="1">IFERROR(__xludf.DUMMYFUNCTION("""COMPUTED_VALUE"""),974160.61)</f>
        <v>974160.61</v>
      </c>
      <c r="C23" s="3">
        <f ca="1">IFERROR(__xludf.DUMMYFUNCTION("""COMPUTED_VALUE"""),0)</f>
        <v>0</v>
      </c>
      <c r="D23" s="3">
        <f ca="1">IFERROR(__xludf.DUMMYFUNCTION("""COMPUTED_VALUE"""),0)</f>
        <v>0</v>
      </c>
      <c r="E23" s="3">
        <f ca="1">IFERROR(__xludf.DUMMYFUNCTION("""COMPUTED_VALUE"""),0)</f>
        <v>0</v>
      </c>
      <c r="F23" s="3">
        <f ca="1">IFERROR(__xludf.DUMMYFUNCTION("""COMPUTED_VALUE"""),0)</f>
        <v>0</v>
      </c>
      <c r="G23" s="3">
        <f ca="1">IFERROR(__xludf.DUMMYFUNCTION("""COMPUTED_VALUE"""),0)</f>
        <v>0</v>
      </c>
      <c r="H23" s="3">
        <f ca="1">IFERROR(__xludf.DUMMYFUNCTION("""COMPUTED_VALUE"""),0)</f>
        <v>0</v>
      </c>
      <c r="I23" s="3">
        <f ca="1">IFERROR(__xludf.DUMMYFUNCTION("""COMPUTED_VALUE"""),0)</f>
        <v>0</v>
      </c>
      <c r="J23" s="3">
        <f ca="1">IFERROR(__xludf.DUMMYFUNCTION("""COMPUTED_VALUE"""),0)</f>
        <v>0</v>
      </c>
      <c r="K23" s="3">
        <f ca="1">IFERROR(__xludf.DUMMYFUNCTION("""COMPUTED_VALUE"""),0)</f>
        <v>0</v>
      </c>
      <c r="L23" s="3">
        <f ca="1">IFERROR(__xludf.DUMMYFUNCTION("""COMPUTED_VALUE"""),0)</f>
        <v>0</v>
      </c>
      <c r="M23" s="3">
        <f ca="1">IFERROR(__xludf.DUMMYFUNCTION("""COMPUTED_VALUE"""),0)</f>
        <v>0</v>
      </c>
      <c r="N23" s="12">
        <f ca="1">IF(M23="",, SUM(B23:M23))</f>
        <v>974160.61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7" t="str">
        <f ca="1">IFERROR(__xludf.DUMMYFUNCTION("""COMPUTED_VALUE"""),"Bebidas")</f>
        <v>Bebidas</v>
      </c>
      <c r="B24" s="13">
        <f ca="1">IFERROR(__xludf.DUMMYFUNCTION("""COMPUTED_VALUE"""),103955.34)</f>
        <v>103955.34</v>
      </c>
      <c r="C24" s="3">
        <f ca="1">IFERROR(__xludf.DUMMYFUNCTION("""COMPUTED_VALUE"""),0)</f>
        <v>0</v>
      </c>
      <c r="D24" s="3">
        <f ca="1">IFERROR(__xludf.DUMMYFUNCTION("""COMPUTED_VALUE"""),0)</f>
        <v>0</v>
      </c>
      <c r="E24" s="3">
        <f ca="1">IFERROR(__xludf.DUMMYFUNCTION("""COMPUTED_VALUE"""),0)</f>
        <v>0</v>
      </c>
      <c r="F24" s="3">
        <f ca="1">IFERROR(__xludf.DUMMYFUNCTION("""COMPUTED_VALUE"""),0)</f>
        <v>0</v>
      </c>
      <c r="G24" s="3">
        <f ca="1">IFERROR(__xludf.DUMMYFUNCTION("""COMPUTED_VALUE"""),0)</f>
        <v>0</v>
      </c>
      <c r="H24" s="3">
        <f ca="1">IFERROR(__xludf.DUMMYFUNCTION("""COMPUTED_VALUE"""),0)</f>
        <v>0</v>
      </c>
      <c r="I24" s="3">
        <f ca="1">IFERROR(__xludf.DUMMYFUNCTION("""COMPUTED_VALUE"""),0)</f>
        <v>0</v>
      </c>
      <c r="J24" s="3">
        <f ca="1">IFERROR(__xludf.DUMMYFUNCTION("""COMPUTED_VALUE"""),0)</f>
        <v>0</v>
      </c>
      <c r="K24" s="3">
        <f ca="1">IFERROR(__xludf.DUMMYFUNCTION("""COMPUTED_VALUE"""),0)</f>
        <v>0</v>
      </c>
      <c r="L24" s="3">
        <f ca="1">IFERROR(__xludf.DUMMYFUNCTION("""COMPUTED_VALUE"""),0)</f>
        <v>0</v>
      </c>
      <c r="M24" s="3">
        <f ca="1">IFERROR(__xludf.DUMMYFUNCTION("""COMPUTED_VALUE"""),0)</f>
        <v>0</v>
      </c>
      <c r="N24" s="12">
        <f ca="1">IF(M24="",, SUM(B24:M24))</f>
        <v>103955.34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7" t="str">
        <f ca="1">IFERROR(__xludf.DUMMYFUNCTION("""COMPUTED_VALUE"""),"Café Inf")</f>
        <v>Café Inf</v>
      </c>
      <c r="B25" s="13">
        <f ca="1">IFERROR(__xludf.DUMMYFUNCTION("""COMPUTED_VALUE"""),6543.1)</f>
        <v>6543.1</v>
      </c>
      <c r="C25" s="3">
        <f ca="1">IFERROR(__xludf.DUMMYFUNCTION("""COMPUTED_VALUE"""),0)</f>
        <v>0</v>
      </c>
      <c r="D25" s="3">
        <f ca="1">IFERROR(__xludf.DUMMYFUNCTION("""COMPUTED_VALUE"""),0)</f>
        <v>0</v>
      </c>
      <c r="E25" s="3">
        <f ca="1">IFERROR(__xludf.DUMMYFUNCTION("""COMPUTED_VALUE"""),0)</f>
        <v>0</v>
      </c>
      <c r="F25" s="3">
        <f ca="1">IFERROR(__xludf.DUMMYFUNCTION("""COMPUTED_VALUE"""),0)</f>
        <v>0</v>
      </c>
      <c r="G25" s="3">
        <f ca="1">IFERROR(__xludf.DUMMYFUNCTION("""COMPUTED_VALUE"""),0)</f>
        <v>0</v>
      </c>
      <c r="H25" s="3">
        <f ca="1">IFERROR(__xludf.DUMMYFUNCTION("""COMPUTED_VALUE"""),0)</f>
        <v>0</v>
      </c>
      <c r="I25" s="3">
        <f ca="1">IFERROR(__xludf.DUMMYFUNCTION("""COMPUTED_VALUE"""),0)</f>
        <v>0</v>
      </c>
      <c r="J25" s="3">
        <f ca="1">IFERROR(__xludf.DUMMYFUNCTION("""COMPUTED_VALUE"""),0)</f>
        <v>0</v>
      </c>
      <c r="K25" s="3">
        <f ca="1">IFERROR(__xludf.DUMMYFUNCTION("""COMPUTED_VALUE"""),0)</f>
        <v>0</v>
      </c>
      <c r="L25" s="3">
        <f ca="1">IFERROR(__xludf.DUMMYFUNCTION("""COMPUTED_VALUE"""),0)</f>
        <v>0</v>
      </c>
      <c r="M25" s="3">
        <f ca="1">IFERROR(__xludf.DUMMYFUNCTION("""COMPUTED_VALUE"""),0)</f>
        <v>0</v>
      </c>
      <c r="N25" s="12">
        <f ca="1">IF(M25="",, SUM(B25:M25))</f>
        <v>6543.1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7" t="str">
        <f ca="1">IFERROR(__xludf.DUMMYFUNCTION("""COMPUTED_VALUE"""),"Destilados")</f>
        <v>Destilados</v>
      </c>
      <c r="B26" s="13">
        <f ca="1">IFERROR(__xludf.DUMMYFUNCTION("""COMPUTED_VALUE"""),40305.19)</f>
        <v>40305.19</v>
      </c>
      <c r="C26" s="3">
        <f ca="1">IFERROR(__xludf.DUMMYFUNCTION("""COMPUTED_VALUE"""),0)</f>
        <v>0</v>
      </c>
      <c r="D26" s="3">
        <f ca="1">IFERROR(__xludf.DUMMYFUNCTION("""COMPUTED_VALUE"""),0)</f>
        <v>0</v>
      </c>
      <c r="E26" s="3">
        <f ca="1">IFERROR(__xludf.DUMMYFUNCTION("""COMPUTED_VALUE"""),0)</f>
        <v>0</v>
      </c>
      <c r="F26" s="3">
        <f ca="1">IFERROR(__xludf.DUMMYFUNCTION("""COMPUTED_VALUE"""),0)</f>
        <v>0</v>
      </c>
      <c r="G26" s="3">
        <f ca="1">IFERROR(__xludf.DUMMYFUNCTION("""COMPUTED_VALUE"""),0)</f>
        <v>0</v>
      </c>
      <c r="H26" s="3">
        <f ca="1">IFERROR(__xludf.DUMMYFUNCTION("""COMPUTED_VALUE"""),0)</f>
        <v>0</v>
      </c>
      <c r="I26" s="3">
        <f ca="1">IFERROR(__xludf.DUMMYFUNCTION("""COMPUTED_VALUE"""),0)</f>
        <v>0</v>
      </c>
      <c r="J26" s="3">
        <f ca="1">IFERROR(__xludf.DUMMYFUNCTION("""COMPUTED_VALUE"""),0)</f>
        <v>0</v>
      </c>
      <c r="K26" s="3">
        <f ca="1">IFERROR(__xludf.DUMMYFUNCTION("""COMPUTED_VALUE"""),0)</f>
        <v>0</v>
      </c>
      <c r="L26" s="3">
        <f ca="1">IFERROR(__xludf.DUMMYFUNCTION("""COMPUTED_VALUE"""),0)</f>
        <v>0</v>
      </c>
      <c r="M26" s="3">
        <f ca="1">IFERROR(__xludf.DUMMYFUNCTION("""COMPUTED_VALUE"""),0)</f>
        <v>0</v>
      </c>
      <c r="N26" s="12">
        <f ca="1">IF(M26="",, SUM(B26:M26))</f>
        <v>40305.19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7" t="str">
        <f ca="1">IFERROR(__xludf.DUMMYFUNCTION("""COMPUTED_VALUE"""),"Vinos")</f>
        <v>Vinos</v>
      </c>
      <c r="B27" s="13">
        <f ca="1">IFERROR(__xludf.DUMMYFUNCTION("""COMPUTED_VALUE"""),14107.7699999999)</f>
        <v>14107.7699999999</v>
      </c>
      <c r="C27" s="3">
        <f ca="1">IFERROR(__xludf.DUMMYFUNCTION("""COMPUTED_VALUE"""),0)</f>
        <v>0</v>
      </c>
      <c r="D27" s="3">
        <f ca="1">IFERROR(__xludf.DUMMYFUNCTION("""COMPUTED_VALUE"""),0)</f>
        <v>0</v>
      </c>
      <c r="E27" s="3">
        <f ca="1">IFERROR(__xludf.DUMMYFUNCTION("""COMPUTED_VALUE"""),0)</f>
        <v>0</v>
      </c>
      <c r="F27" s="3">
        <f ca="1">IFERROR(__xludf.DUMMYFUNCTION("""COMPUTED_VALUE"""),0)</f>
        <v>0</v>
      </c>
      <c r="G27" s="3">
        <f ca="1">IFERROR(__xludf.DUMMYFUNCTION("""COMPUTED_VALUE"""),0)</f>
        <v>0</v>
      </c>
      <c r="H27" s="3">
        <f ca="1">IFERROR(__xludf.DUMMYFUNCTION("""COMPUTED_VALUE"""),0)</f>
        <v>0</v>
      </c>
      <c r="I27" s="3">
        <f ca="1">IFERROR(__xludf.DUMMYFUNCTION("""COMPUTED_VALUE"""),0)</f>
        <v>0</v>
      </c>
      <c r="J27" s="3">
        <f ca="1">IFERROR(__xludf.DUMMYFUNCTION("""COMPUTED_VALUE"""),0)</f>
        <v>0</v>
      </c>
      <c r="K27" s="3">
        <f ca="1">IFERROR(__xludf.DUMMYFUNCTION("""COMPUTED_VALUE"""),0)</f>
        <v>0</v>
      </c>
      <c r="L27" s="3">
        <f ca="1">IFERROR(__xludf.DUMMYFUNCTION("""COMPUTED_VALUE"""),0)</f>
        <v>0</v>
      </c>
      <c r="M27" s="3">
        <f ca="1">IFERROR(__xludf.DUMMYFUNCTION("""COMPUTED_VALUE"""),0)</f>
        <v>0</v>
      </c>
      <c r="N27" s="12">
        <f ca="1">IF(M27="",, SUM(B27:M27))</f>
        <v>14107.7699999999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7" t="str">
        <f ca="1">IFERROR(__xludf.DUMMYFUNCTION("""COMPUTED_VALUE"""),"")</f>
        <v/>
      </c>
      <c r="B28" s="13" t="str">
        <f ca="1">IFERROR(__xludf.DUMMYFUNCTION("""COMPUTED_VALUE"""),"")</f>
        <v/>
      </c>
      <c r="C28" s="3" t="str">
        <f ca="1">IFERROR(__xludf.DUMMYFUNCTION("""COMPUTED_VALUE"""),"")</f>
        <v/>
      </c>
      <c r="D28" s="3" t="str">
        <f ca="1">IFERROR(__xludf.DUMMYFUNCTION("""COMPUTED_VALUE"""),"")</f>
        <v/>
      </c>
      <c r="E28" s="3" t="str">
        <f ca="1">IFERROR(__xludf.DUMMYFUNCTION("""COMPUTED_VALUE"""),"")</f>
        <v/>
      </c>
      <c r="F28" s="3" t="str">
        <f ca="1">IFERROR(__xludf.DUMMYFUNCTION("""COMPUTED_VALUE"""),"")</f>
        <v/>
      </c>
      <c r="G28" s="3" t="str">
        <f ca="1">IFERROR(__xludf.DUMMYFUNCTION("""COMPUTED_VALUE"""),"")</f>
        <v/>
      </c>
      <c r="H28" s="3" t="str">
        <f ca="1">IFERROR(__xludf.DUMMYFUNCTION("""COMPUTED_VALUE"""),"")</f>
        <v/>
      </c>
      <c r="I28" s="3" t="str">
        <f ca="1">IFERROR(__xludf.DUMMYFUNCTION("""COMPUTED_VALUE"""),"")</f>
        <v/>
      </c>
      <c r="J28" s="3" t="str">
        <f ca="1">IFERROR(__xludf.DUMMYFUNCTION("""COMPUTED_VALUE"""),"")</f>
        <v/>
      </c>
      <c r="K28" s="3" t="str">
        <f ca="1">IFERROR(__xludf.DUMMYFUNCTION("""COMPUTED_VALUE"""),"")</f>
        <v/>
      </c>
      <c r="L28" s="3" t="str">
        <f ca="1">IFERROR(__xludf.DUMMYFUNCTION("""COMPUTED_VALUE"""),"")</f>
        <v/>
      </c>
      <c r="M28" s="3" t="str">
        <f ca="1">IFERROR(__xludf.DUMMYFUNCTION("""COMPUTED_VALUE"""),"")</f>
        <v/>
      </c>
      <c r="N28" s="12">
        <f ca="1">IF(M28="",, SUM(B28:M28))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7" t="str">
        <f ca="1">IFERROR(__xludf.DUMMYFUNCTION("""COMPUTED_VALUE"""),"D")</f>
        <v>D</v>
      </c>
      <c r="B29" s="13">
        <f ca="1">IFERROR(__xludf.DUMMYFUNCTION("""COMPUTED_VALUE"""),470759.29)</f>
        <v>470759.29</v>
      </c>
      <c r="C29" s="3">
        <f ca="1">IFERROR(__xludf.DUMMYFUNCTION("""COMPUTED_VALUE"""),0)</f>
        <v>0</v>
      </c>
      <c r="D29" s="3">
        <f ca="1">IFERROR(__xludf.DUMMYFUNCTION("""COMPUTED_VALUE"""),0)</f>
        <v>0</v>
      </c>
      <c r="E29" s="3">
        <f ca="1">IFERROR(__xludf.DUMMYFUNCTION("""COMPUTED_VALUE"""),0)</f>
        <v>0</v>
      </c>
      <c r="F29" s="3">
        <f ca="1">IFERROR(__xludf.DUMMYFUNCTION("""COMPUTED_VALUE"""),0)</f>
        <v>0</v>
      </c>
      <c r="G29" s="3">
        <f ca="1">IFERROR(__xludf.DUMMYFUNCTION("""COMPUTED_VALUE"""),0)</f>
        <v>0</v>
      </c>
      <c r="H29" s="3">
        <f ca="1">IFERROR(__xludf.DUMMYFUNCTION("""COMPUTED_VALUE"""),0)</f>
        <v>0</v>
      </c>
      <c r="I29" s="3">
        <f ca="1">IFERROR(__xludf.DUMMYFUNCTION("""COMPUTED_VALUE"""),0)</f>
        <v>0</v>
      </c>
      <c r="J29" s="3">
        <f ca="1">IFERROR(__xludf.DUMMYFUNCTION("""COMPUTED_VALUE"""),0)</f>
        <v>0</v>
      </c>
      <c r="K29" s="3">
        <f ca="1">IFERROR(__xludf.DUMMYFUNCTION("""COMPUTED_VALUE"""),0)</f>
        <v>0</v>
      </c>
      <c r="L29" s="3">
        <f ca="1">IFERROR(__xludf.DUMMYFUNCTION("""COMPUTED_VALUE"""),0)</f>
        <v>0</v>
      </c>
      <c r="M29" s="3">
        <f ca="1">IFERROR(__xludf.DUMMYFUNCTION("""COMPUTED_VALUE"""),0)</f>
        <v>0</v>
      </c>
      <c r="N29" s="12">
        <f ca="1">IF(M29="",, SUM(B29:M29))</f>
        <v>470759.29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7" t="str">
        <f ca="1">IFERROR(__xludf.DUMMYFUNCTION("""COMPUTED_VALUE"""),"")</f>
        <v/>
      </c>
      <c r="B30" s="13" t="str">
        <f ca="1">IFERROR(__xludf.DUMMYFUNCTION("""COMPUTED_VALUE"""),"")</f>
        <v/>
      </c>
      <c r="C30" s="3" t="str">
        <f ca="1">IFERROR(__xludf.DUMMYFUNCTION("""COMPUTED_VALUE"""),"")</f>
        <v/>
      </c>
      <c r="D30" s="3" t="str">
        <f ca="1">IFERROR(__xludf.DUMMYFUNCTION("""COMPUTED_VALUE"""),"")</f>
        <v/>
      </c>
      <c r="E30" s="3" t="str">
        <f ca="1">IFERROR(__xludf.DUMMYFUNCTION("""COMPUTED_VALUE"""),"")</f>
        <v/>
      </c>
      <c r="F30" s="3" t="str">
        <f ca="1">IFERROR(__xludf.DUMMYFUNCTION("""COMPUTED_VALUE"""),"")</f>
        <v/>
      </c>
      <c r="G30" s="3" t="str">
        <f ca="1">IFERROR(__xludf.DUMMYFUNCTION("""COMPUTED_VALUE"""),"")</f>
        <v/>
      </c>
      <c r="H30" s="3" t="str">
        <f ca="1">IFERROR(__xludf.DUMMYFUNCTION("""COMPUTED_VALUE"""),"")</f>
        <v/>
      </c>
      <c r="I30" s="3" t="str">
        <f ca="1">IFERROR(__xludf.DUMMYFUNCTION("""COMPUTED_VALUE"""),"")</f>
        <v/>
      </c>
      <c r="J30" s="3" t="str">
        <f ca="1">IFERROR(__xludf.DUMMYFUNCTION("""COMPUTED_VALUE"""),"")</f>
        <v/>
      </c>
      <c r="K30" s="3" t="str">
        <f ca="1">IFERROR(__xludf.DUMMYFUNCTION("""COMPUTED_VALUE"""),"")</f>
        <v/>
      </c>
      <c r="L30" s="3" t="str">
        <f ca="1">IFERROR(__xludf.DUMMYFUNCTION("""COMPUTED_VALUE"""),"")</f>
        <v/>
      </c>
      <c r="M30" s="3" t="str">
        <f ca="1">IFERROR(__xludf.DUMMYFUNCTION("""COMPUTED_VALUE"""),"")</f>
        <v/>
      </c>
      <c r="N30" s="12">
        <f ca="1">IF(M30="",, SUM(B30:M30))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7" t="str">
        <f ca="1">IFERROR(__xludf.DUMMYFUNCTION("""COMPUTED_VALUE"""),"Alimentos")</f>
        <v>Alimentos</v>
      </c>
      <c r="B31" s="13">
        <f ca="1">IFERROR(__xludf.DUMMYFUNCTION("""COMPUTED_VALUE"""),380446.32)</f>
        <v>380446.32</v>
      </c>
      <c r="C31" s="3">
        <f ca="1">IFERROR(__xludf.DUMMYFUNCTION("""COMPUTED_VALUE"""),0)</f>
        <v>0</v>
      </c>
      <c r="D31" s="3">
        <f ca="1">IFERROR(__xludf.DUMMYFUNCTION("""COMPUTED_VALUE"""),0)</f>
        <v>0</v>
      </c>
      <c r="E31" s="3">
        <f ca="1">IFERROR(__xludf.DUMMYFUNCTION("""COMPUTED_VALUE"""),0)</f>
        <v>0</v>
      </c>
      <c r="F31" s="3">
        <f ca="1">IFERROR(__xludf.DUMMYFUNCTION("""COMPUTED_VALUE"""),0)</f>
        <v>0</v>
      </c>
      <c r="G31" s="3">
        <f ca="1">IFERROR(__xludf.DUMMYFUNCTION("""COMPUTED_VALUE"""),0)</f>
        <v>0</v>
      </c>
      <c r="H31" s="3">
        <f ca="1">IFERROR(__xludf.DUMMYFUNCTION("""COMPUTED_VALUE"""),0)</f>
        <v>0</v>
      </c>
      <c r="I31" s="3">
        <f ca="1">IFERROR(__xludf.DUMMYFUNCTION("""COMPUTED_VALUE"""),0)</f>
        <v>0</v>
      </c>
      <c r="J31" s="3">
        <f ca="1">IFERROR(__xludf.DUMMYFUNCTION("""COMPUTED_VALUE"""),0)</f>
        <v>0</v>
      </c>
      <c r="K31" s="3">
        <f ca="1">IFERROR(__xludf.DUMMYFUNCTION("""COMPUTED_VALUE"""),0)</f>
        <v>0</v>
      </c>
      <c r="L31" s="3">
        <f ca="1">IFERROR(__xludf.DUMMYFUNCTION("""COMPUTED_VALUE"""),0)</f>
        <v>0</v>
      </c>
      <c r="M31" s="3">
        <f ca="1">IFERROR(__xludf.DUMMYFUNCTION("""COMPUTED_VALUE"""),0)</f>
        <v>0</v>
      </c>
      <c r="N31" s="12">
        <f ca="1">IF(M31="",, SUM(B31:M31))</f>
        <v>380446.32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7" t="str">
        <f ca="1">IFERROR(__xludf.DUMMYFUNCTION("""COMPUTED_VALUE"""),"Bebidas")</f>
        <v>Bebidas</v>
      </c>
      <c r="B32" s="13">
        <f ca="1">IFERROR(__xludf.DUMMYFUNCTION("""COMPUTED_VALUE"""),55071.57)</f>
        <v>55071.57</v>
      </c>
      <c r="C32" s="3">
        <f ca="1">IFERROR(__xludf.DUMMYFUNCTION("""COMPUTED_VALUE"""),0)</f>
        <v>0</v>
      </c>
      <c r="D32" s="3">
        <f ca="1">IFERROR(__xludf.DUMMYFUNCTION("""COMPUTED_VALUE"""),0)</f>
        <v>0</v>
      </c>
      <c r="E32" s="3">
        <f ca="1">IFERROR(__xludf.DUMMYFUNCTION("""COMPUTED_VALUE"""),0)</f>
        <v>0</v>
      </c>
      <c r="F32" s="3">
        <f ca="1">IFERROR(__xludf.DUMMYFUNCTION("""COMPUTED_VALUE"""),0)</f>
        <v>0</v>
      </c>
      <c r="G32" s="3">
        <f ca="1">IFERROR(__xludf.DUMMYFUNCTION("""COMPUTED_VALUE"""),0)</f>
        <v>0</v>
      </c>
      <c r="H32" s="3">
        <f ca="1">IFERROR(__xludf.DUMMYFUNCTION("""COMPUTED_VALUE"""),0)</f>
        <v>0</v>
      </c>
      <c r="I32" s="3">
        <f ca="1">IFERROR(__xludf.DUMMYFUNCTION("""COMPUTED_VALUE"""),0)</f>
        <v>0</v>
      </c>
      <c r="J32" s="3">
        <f ca="1">IFERROR(__xludf.DUMMYFUNCTION("""COMPUTED_VALUE"""),0)</f>
        <v>0</v>
      </c>
      <c r="K32" s="3">
        <f ca="1">IFERROR(__xludf.DUMMYFUNCTION("""COMPUTED_VALUE"""),0)</f>
        <v>0</v>
      </c>
      <c r="L32" s="3">
        <f ca="1">IFERROR(__xludf.DUMMYFUNCTION("""COMPUTED_VALUE"""),0)</f>
        <v>0</v>
      </c>
      <c r="M32" s="3">
        <f ca="1">IFERROR(__xludf.DUMMYFUNCTION("""COMPUTED_VALUE"""),0)</f>
        <v>0</v>
      </c>
      <c r="N32" s="12">
        <f ca="1">IF(M32="",, SUM(B32:M32))</f>
        <v>55071.57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7" t="str">
        <f ca="1">IFERROR(__xludf.DUMMYFUNCTION("""COMPUTED_VALUE"""),"Café Inf")</f>
        <v>Café Inf</v>
      </c>
      <c r="B33" s="13">
        <f ca="1">IFERROR(__xludf.DUMMYFUNCTION("""COMPUTED_VALUE"""),2068.96)</f>
        <v>2068.96</v>
      </c>
      <c r="C33" s="3">
        <f ca="1">IFERROR(__xludf.DUMMYFUNCTION("""COMPUTED_VALUE"""),0)</f>
        <v>0</v>
      </c>
      <c r="D33" s="3">
        <f ca="1">IFERROR(__xludf.DUMMYFUNCTION("""COMPUTED_VALUE"""),0)</f>
        <v>0</v>
      </c>
      <c r="E33" s="3">
        <f ca="1">IFERROR(__xludf.DUMMYFUNCTION("""COMPUTED_VALUE"""),0)</f>
        <v>0</v>
      </c>
      <c r="F33" s="3">
        <f ca="1">IFERROR(__xludf.DUMMYFUNCTION("""COMPUTED_VALUE"""),0)</f>
        <v>0</v>
      </c>
      <c r="G33" s="3">
        <f ca="1">IFERROR(__xludf.DUMMYFUNCTION("""COMPUTED_VALUE"""),0)</f>
        <v>0</v>
      </c>
      <c r="H33" s="3">
        <f ca="1">IFERROR(__xludf.DUMMYFUNCTION("""COMPUTED_VALUE"""),0)</f>
        <v>0</v>
      </c>
      <c r="I33" s="3">
        <f ca="1">IFERROR(__xludf.DUMMYFUNCTION("""COMPUTED_VALUE"""),0)</f>
        <v>0</v>
      </c>
      <c r="J33" s="3">
        <f ca="1">IFERROR(__xludf.DUMMYFUNCTION("""COMPUTED_VALUE"""),0)</f>
        <v>0</v>
      </c>
      <c r="K33" s="3">
        <f ca="1">IFERROR(__xludf.DUMMYFUNCTION("""COMPUTED_VALUE"""),0)</f>
        <v>0</v>
      </c>
      <c r="L33" s="3">
        <f ca="1">IFERROR(__xludf.DUMMYFUNCTION("""COMPUTED_VALUE"""),0)</f>
        <v>0</v>
      </c>
      <c r="M33" s="3">
        <f ca="1">IFERROR(__xludf.DUMMYFUNCTION("""COMPUTED_VALUE"""),0)</f>
        <v>0</v>
      </c>
      <c r="N33" s="12">
        <f ca="1">IF(M33="",, SUM(B33:M33))</f>
        <v>2068.96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7" t="str">
        <f ca="1">IFERROR(__xludf.DUMMYFUNCTION("""COMPUTED_VALUE"""),"Destilados")</f>
        <v>Destilados</v>
      </c>
      <c r="B34" s="13">
        <f ca="1">IFERROR(__xludf.DUMMYFUNCTION("""COMPUTED_VALUE"""),22784.5)</f>
        <v>22784.5</v>
      </c>
      <c r="C34" s="3">
        <f ca="1">IFERROR(__xludf.DUMMYFUNCTION("""COMPUTED_VALUE"""),0)</f>
        <v>0</v>
      </c>
      <c r="D34" s="3">
        <f ca="1">IFERROR(__xludf.DUMMYFUNCTION("""COMPUTED_VALUE"""),0)</f>
        <v>0</v>
      </c>
      <c r="E34" s="3">
        <f ca="1">IFERROR(__xludf.DUMMYFUNCTION("""COMPUTED_VALUE"""),0)</f>
        <v>0</v>
      </c>
      <c r="F34" s="3">
        <f ca="1">IFERROR(__xludf.DUMMYFUNCTION("""COMPUTED_VALUE"""),0)</f>
        <v>0</v>
      </c>
      <c r="G34" s="3">
        <f ca="1">IFERROR(__xludf.DUMMYFUNCTION("""COMPUTED_VALUE"""),0)</f>
        <v>0</v>
      </c>
      <c r="H34" s="3">
        <f ca="1">IFERROR(__xludf.DUMMYFUNCTION("""COMPUTED_VALUE"""),0)</f>
        <v>0</v>
      </c>
      <c r="I34" s="3">
        <f ca="1">IFERROR(__xludf.DUMMYFUNCTION("""COMPUTED_VALUE"""),0)</f>
        <v>0</v>
      </c>
      <c r="J34" s="3">
        <f ca="1">IFERROR(__xludf.DUMMYFUNCTION("""COMPUTED_VALUE"""),0)</f>
        <v>0</v>
      </c>
      <c r="K34" s="3">
        <f ca="1">IFERROR(__xludf.DUMMYFUNCTION("""COMPUTED_VALUE"""),0)</f>
        <v>0</v>
      </c>
      <c r="L34" s="3">
        <f ca="1">IFERROR(__xludf.DUMMYFUNCTION("""COMPUTED_VALUE"""),0)</f>
        <v>0</v>
      </c>
      <c r="M34" s="3">
        <f ca="1">IFERROR(__xludf.DUMMYFUNCTION("""COMPUTED_VALUE"""),0)</f>
        <v>0</v>
      </c>
      <c r="N34" s="12">
        <f ca="1">IF(M34="",, SUM(B34:M34))</f>
        <v>22784.5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7" t="str">
        <f ca="1">IFERROR(__xludf.DUMMYFUNCTION("""COMPUTED_VALUE"""),"Vinos")</f>
        <v>Vinos</v>
      </c>
      <c r="B35" s="13">
        <f ca="1">IFERROR(__xludf.DUMMYFUNCTION("""COMPUTED_VALUE"""),10387.9399999999)</f>
        <v>10387.9399999999</v>
      </c>
      <c r="C35" s="3">
        <f ca="1">IFERROR(__xludf.DUMMYFUNCTION("""COMPUTED_VALUE"""),0)</f>
        <v>0</v>
      </c>
      <c r="D35" s="3">
        <f ca="1">IFERROR(__xludf.DUMMYFUNCTION("""COMPUTED_VALUE"""),0)</f>
        <v>0</v>
      </c>
      <c r="E35" s="3">
        <f ca="1">IFERROR(__xludf.DUMMYFUNCTION("""COMPUTED_VALUE"""),0)</f>
        <v>0</v>
      </c>
      <c r="F35" s="3">
        <f ca="1">IFERROR(__xludf.DUMMYFUNCTION("""COMPUTED_VALUE"""),0)</f>
        <v>0</v>
      </c>
      <c r="G35" s="3">
        <f ca="1">IFERROR(__xludf.DUMMYFUNCTION("""COMPUTED_VALUE"""),0)</f>
        <v>0</v>
      </c>
      <c r="H35" s="3">
        <f ca="1">IFERROR(__xludf.DUMMYFUNCTION("""COMPUTED_VALUE"""),0)</f>
        <v>0</v>
      </c>
      <c r="I35" s="3">
        <f ca="1">IFERROR(__xludf.DUMMYFUNCTION("""COMPUTED_VALUE"""),0)</f>
        <v>0</v>
      </c>
      <c r="J35" s="3">
        <f ca="1">IFERROR(__xludf.DUMMYFUNCTION("""COMPUTED_VALUE"""),0)</f>
        <v>0</v>
      </c>
      <c r="K35" s="3">
        <f ca="1">IFERROR(__xludf.DUMMYFUNCTION("""COMPUTED_VALUE"""),0)</f>
        <v>0</v>
      </c>
      <c r="L35" s="3">
        <f ca="1">IFERROR(__xludf.DUMMYFUNCTION("""COMPUTED_VALUE"""),0)</f>
        <v>0</v>
      </c>
      <c r="M35" s="3">
        <f ca="1">IFERROR(__xludf.DUMMYFUNCTION("""COMPUTED_VALUE"""),0)</f>
        <v>0</v>
      </c>
      <c r="N35" s="12">
        <f ca="1">IF(M35="",, SUM(B35:M35))</f>
        <v>10387.9399999999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7" t="str">
        <f ca="1">IFERROR(__xludf.DUMMYFUNCTION("""COMPUTED_VALUE"""),"")</f>
        <v/>
      </c>
      <c r="B36" s="13" t="str">
        <f ca="1">IFERROR(__xludf.DUMMYFUNCTION("""COMPUTED_VALUE"""),"")</f>
        <v/>
      </c>
      <c r="C36" s="3" t="str">
        <f ca="1">IFERROR(__xludf.DUMMYFUNCTION("""COMPUTED_VALUE"""),"")</f>
        <v/>
      </c>
      <c r="D36" s="3" t="str">
        <f ca="1">IFERROR(__xludf.DUMMYFUNCTION("""COMPUTED_VALUE"""),"")</f>
        <v/>
      </c>
      <c r="E36" s="3" t="str">
        <f ca="1">IFERROR(__xludf.DUMMYFUNCTION("""COMPUTED_VALUE"""),"")</f>
        <v/>
      </c>
      <c r="F36" s="3" t="str">
        <f ca="1">IFERROR(__xludf.DUMMYFUNCTION("""COMPUTED_VALUE"""),"")</f>
        <v/>
      </c>
      <c r="G36" s="3" t="str">
        <f ca="1">IFERROR(__xludf.DUMMYFUNCTION("""COMPUTED_VALUE"""),"")</f>
        <v/>
      </c>
      <c r="H36" s="3" t="str">
        <f ca="1">IFERROR(__xludf.DUMMYFUNCTION("""COMPUTED_VALUE"""),"")</f>
        <v/>
      </c>
      <c r="I36" s="3" t="str">
        <f ca="1">IFERROR(__xludf.DUMMYFUNCTION("""COMPUTED_VALUE"""),"")</f>
        <v/>
      </c>
      <c r="J36" s="3" t="str">
        <f ca="1">IFERROR(__xludf.DUMMYFUNCTION("""COMPUTED_VALUE"""),"")</f>
        <v/>
      </c>
      <c r="K36" s="3" t="str">
        <f ca="1">IFERROR(__xludf.DUMMYFUNCTION("""COMPUTED_VALUE"""),"")</f>
        <v/>
      </c>
      <c r="L36" s="3" t="str">
        <f ca="1">IFERROR(__xludf.DUMMYFUNCTION("""COMPUTED_VALUE"""),"")</f>
        <v/>
      </c>
      <c r="M36" s="3" t="str">
        <f ca="1">IFERROR(__xludf.DUMMYFUNCTION("""COMPUTED_VALUE"""),"")</f>
        <v/>
      </c>
      <c r="N36" s="12">
        <f ca="1">IF(M36="",, SUM(B36:M36))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7" t="str">
        <f ca="1">IFERROR(__xludf.DUMMYFUNCTION("""COMPUTED_VALUE"""),"E")</f>
        <v>E</v>
      </c>
      <c r="B37" s="13">
        <f ca="1">IFERROR(__xludf.DUMMYFUNCTION("""COMPUTED_VALUE"""),1819229.94999999)</f>
        <v>1819229.9499999899</v>
      </c>
      <c r="C37" s="3">
        <f ca="1">IFERROR(__xludf.DUMMYFUNCTION("""COMPUTED_VALUE"""),0)</f>
        <v>0</v>
      </c>
      <c r="D37" s="3">
        <f ca="1">IFERROR(__xludf.DUMMYFUNCTION("""COMPUTED_VALUE"""),0)</f>
        <v>0</v>
      </c>
      <c r="E37" s="3">
        <f ca="1">IFERROR(__xludf.DUMMYFUNCTION("""COMPUTED_VALUE"""),0)</f>
        <v>0</v>
      </c>
      <c r="F37" s="3">
        <f ca="1">IFERROR(__xludf.DUMMYFUNCTION("""COMPUTED_VALUE"""),0)</f>
        <v>0</v>
      </c>
      <c r="G37" s="3">
        <f ca="1">IFERROR(__xludf.DUMMYFUNCTION("""COMPUTED_VALUE"""),0)</f>
        <v>0</v>
      </c>
      <c r="H37" s="3">
        <f ca="1">IFERROR(__xludf.DUMMYFUNCTION("""COMPUTED_VALUE"""),0)</f>
        <v>0</v>
      </c>
      <c r="I37" s="3">
        <f ca="1">IFERROR(__xludf.DUMMYFUNCTION("""COMPUTED_VALUE"""),0)</f>
        <v>0</v>
      </c>
      <c r="J37" s="3">
        <f ca="1">IFERROR(__xludf.DUMMYFUNCTION("""COMPUTED_VALUE"""),0)</f>
        <v>0</v>
      </c>
      <c r="K37" s="3">
        <f ca="1">IFERROR(__xludf.DUMMYFUNCTION("""COMPUTED_VALUE"""),0)</f>
        <v>0</v>
      </c>
      <c r="L37" s="3">
        <f ca="1">IFERROR(__xludf.DUMMYFUNCTION("""COMPUTED_VALUE"""),0)</f>
        <v>0</v>
      </c>
      <c r="M37" s="3">
        <f ca="1">IFERROR(__xludf.DUMMYFUNCTION("""COMPUTED_VALUE"""),0)</f>
        <v>0</v>
      </c>
      <c r="N37" s="12">
        <f ca="1">IF(M37="",, SUM(B37:M37))</f>
        <v>1819229.9499999899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7" t="str">
        <f ca="1">IFERROR(__xludf.DUMMYFUNCTION("""COMPUTED_VALUE"""),"")</f>
        <v/>
      </c>
      <c r="B38" s="13" t="str">
        <f ca="1">IFERROR(__xludf.DUMMYFUNCTION("""COMPUTED_VALUE"""),"")</f>
        <v/>
      </c>
      <c r="C38" s="3" t="str">
        <f ca="1">IFERROR(__xludf.DUMMYFUNCTION("""COMPUTED_VALUE"""),"")</f>
        <v/>
      </c>
      <c r="D38" s="3" t="str">
        <f ca="1">IFERROR(__xludf.DUMMYFUNCTION("""COMPUTED_VALUE"""),"")</f>
        <v/>
      </c>
      <c r="E38" s="3" t="str">
        <f ca="1">IFERROR(__xludf.DUMMYFUNCTION("""COMPUTED_VALUE"""),"")</f>
        <v/>
      </c>
      <c r="F38" s="3" t="str">
        <f ca="1">IFERROR(__xludf.DUMMYFUNCTION("""COMPUTED_VALUE"""),"")</f>
        <v/>
      </c>
      <c r="G38" s="3" t="str">
        <f ca="1">IFERROR(__xludf.DUMMYFUNCTION("""COMPUTED_VALUE"""),"")</f>
        <v/>
      </c>
      <c r="H38" s="3" t="str">
        <f ca="1">IFERROR(__xludf.DUMMYFUNCTION("""COMPUTED_VALUE"""),"")</f>
        <v/>
      </c>
      <c r="I38" s="3" t="str">
        <f ca="1">IFERROR(__xludf.DUMMYFUNCTION("""COMPUTED_VALUE"""),"")</f>
        <v/>
      </c>
      <c r="J38" s="3" t="str">
        <f ca="1">IFERROR(__xludf.DUMMYFUNCTION("""COMPUTED_VALUE"""),"")</f>
        <v/>
      </c>
      <c r="K38" s="3" t="str">
        <f ca="1">IFERROR(__xludf.DUMMYFUNCTION("""COMPUTED_VALUE"""),"")</f>
        <v/>
      </c>
      <c r="L38" s="3" t="str">
        <f ca="1">IFERROR(__xludf.DUMMYFUNCTION("""COMPUTED_VALUE"""),"")</f>
        <v/>
      </c>
      <c r="M38" s="3" t="str">
        <f ca="1">IFERROR(__xludf.DUMMYFUNCTION("""COMPUTED_VALUE"""),"")</f>
        <v/>
      </c>
      <c r="N38" s="12">
        <f ca="1">IF(M38="",, SUM(B38:M38))</f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7" t="str">
        <f ca="1">IFERROR(__xludf.DUMMYFUNCTION("""COMPUTED_VALUE"""),"Alimentos")</f>
        <v>Alimentos</v>
      </c>
      <c r="B39" s="13">
        <f ca="1">IFERROR(__xludf.DUMMYFUNCTION("""COMPUTED_VALUE"""),1533422.09999999)</f>
        <v>1533422.0999999901</v>
      </c>
      <c r="C39" s="3">
        <f ca="1">IFERROR(__xludf.DUMMYFUNCTION("""COMPUTED_VALUE"""),0)</f>
        <v>0</v>
      </c>
      <c r="D39" s="3">
        <f ca="1">IFERROR(__xludf.DUMMYFUNCTION("""COMPUTED_VALUE"""),0)</f>
        <v>0</v>
      </c>
      <c r="E39" s="3">
        <f ca="1">IFERROR(__xludf.DUMMYFUNCTION("""COMPUTED_VALUE"""),0)</f>
        <v>0</v>
      </c>
      <c r="F39" s="3">
        <f ca="1">IFERROR(__xludf.DUMMYFUNCTION("""COMPUTED_VALUE"""),0)</f>
        <v>0</v>
      </c>
      <c r="G39" s="3">
        <f ca="1">IFERROR(__xludf.DUMMYFUNCTION("""COMPUTED_VALUE"""),0)</f>
        <v>0</v>
      </c>
      <c r="H39" s="3">
        <f ca="1">IFERROR(__xludf.DUMMYFUNCTION("""COMPUTED_VALUE"""),0)</f>
        <v>0</v>
      </c>
      <c r="I39" s="3">
        <f ca="1">IFERROR(__xludf.DUMMYFUNCTION("""COMPUTED_VALUE"""),0)</f>
        <v>0</v>
      </c>
      <c r="J39" s="3">
        <f ca="1">IFERROR(__xludf.DUMMYFUNCTION("""COMPUTED_VALUE"""),0)</f>
        <v>0</v>
      </c>
      <c r="K39" s="3">
        <f ca="1">IFERROR(__xludf.DUMMYFUNCTION("""COMPUTED_VALUE"""),0)</f>
        <v>0</v>
      </c>
      <c r="L39" s="3">
        <f ca="1">IFERROR(__xludf.DUMMYFUNCTION("""COMPUTED_VALUE"""),0)</f>
        <v>0</v>
      </c>
      <c r="M39" s="3">
        <f ca="1">IFERROR(__xludf.DUMMYFUNCTION("""COMPUTED_VALUE"""),0)</f>
        <v>0</v>
      </c>
      <c r="N39" s="12">
        <f ca="1">IF(M39="",, SUM(B39:M39))</f>
        <v>1533422.0999999901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7" t="str">
        <f ca="1">IFERROR(__xludf.DUMMYFUNCTION("""COMPUTED_VALUE"""),"Bebidas")</f>
        <v>Bebidas</v>
      </c>
      <c r="B40" s="13">
        <f ca="1">IFERROR(__xludf.DUMMYFUNCTION("""COMPUTED_VALUE"""),176260.43)</f>
        <v>176260.43</v>
      </c>
      <c r="C40" s="3">
        <f ca="1">IFERROR(__xludf.DUMMYFUNCTION("""COMPUTED_VALUE"""),0)</f>
        <v>0</v>
      </c>
      <c r="D40" s="3">
        <f ca="1">IFERROR(__xludf.DUMMYFUNCTION("""COMPUTED_VALUE"""),0)</f>
        <v>0</v>
      </c>
      <c r="E40" s="3">
        <f ca="1">IFERROR(__xludf.DUMMYFUNCTION("""COMPUTED_VALUE"""),0)</f>
        <v>0</v>
      </c>
      <c r="F40" s="3">
        <f ca="1">IFERROR(__xludf.DUMMYFUNCTION("""COMPUTED_VALUE"""),0)</f>
        <v>0</v>
      </c>
      <c r="G40" s="3">
        <f ca="1">IFERROR(__xludf.DUMMYFUNCTION("""COMPUTED_VALUE"""),0)</f>
        <v>0</v>
      </c>
      <c r="H40" s="3">
        <f ca="1">IFERROR(__xludf.DUMMYFUNCTION("""COMPUTED_VALUE"""),0)</f>
        <v>0</v>
      </c>
      <c r="I40" s="3">
        <f ca="1">IFERROR(__xludf.DUMMYFUNCTION("""COMPUTED_VALUE"""),0)</f>
        <v>0</v>
      </c>
      <c r="J40" s="3">
        <f ca="1">IFERROR(__xludf.DUMMYFUNCTION("""COMPUTED_VALUE"""),0)</f>
        <v>0</v>
      </c>
      <c r="K40" s="3">
        <f ca="1">IFERROR(__xludf.DUMMYFUNCTION("""COMPUTED_VALUE"""),0)</f>
        <v>0</v>
      </c>
      <c r="L40" s="3">
        <f ca="1">IFERROR(__xludf.DUMMYFUNCTION("""COMPUTED_VALUE"""),0)</f>
        <v>0</v>
      </c>
      <c r="M40" s="3">
        <f ca="1">IFERROR(__xludf.DUMMYFUNCTION("""COMPUTED_VALUE"""),0)</f>
        <v>0</v>
      </c>
      <c r="N40" s="12">
        <f ca="1">IF(M40="",, SUM(B40:M40))</f>
        <v>176260.43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7" t="str">
        <f ca="1">IFERROR(__xludf.DUMMYFUNCTION("""COMPUTED_VALUE"""),"Café Inf")</f>
        <v>Café Inf</v>
      </c>
      <c r="B41" s="13">
        <f ca="1">IFERROR(__xludf.DUMMYFUNCTION("""COMPUTED_VALUE"""),13148.7)</f>
        <v>13148.7</v>
      </c>
      <c r="C41" s="3">
        <f ca="1">IFERROR(__xludf.DUMMYFUNCTION("""COMPUTED_VALUE"""),0)</f>
        <v>0</v>
      </c>
      <c r="D41" s="3">
        <f ca="1">IFERROR(__xludf.DUMMYFUNCTION("""COMPUTED_VALUE"""),0)</f>
        <v>0</v>
      </c>
      <c r="E41" s="3">
        <f ca="1">IFERROR(__xludf.DUMMYFUNCTION("""COMPUTED_VALUE"""),0)</f>
        <v>0</v>
      </c>
      <c r="F41" s="3">
        <f ca="1">IFERROR(__xludf.DUMMYFUNCTION("""COMPUTED_VALUE"""),0)</f>
        <v>0</v>
      </c>
      <c r="G41" s="3">
        <f ca="1">IFERROR(__xludf.DUMMYFUNCTION("""COMPUTED_VALUE"""),0)</f>
        <v>0</v>
      </c>
      <c r="H41" s="3">
        <f ca="1">IFERROR(__xludf.DUMMYFUNCTION("""COMPUTED_VALUE"""),0)</f>
        <v>0</v>
      </c>
      <c r="I41" s="3">
        <f ca="1">IFERROR(__xludf.DUMMYFUNCTION("""COMPUTED_VALUE"""),0)</f>
        <v>0</v>
      </c>
      <c r="J41" s="3">
        <f ca="1">IFERROR(__xludf.DUMMYFUNCTION("""COMPUTED_VALUE"""),0)</f>
        <v>0</v>
      </c>
      <c r="K41" s="3">
        <f ca="1">IFERROR(__xludf.DUMMYFUNCTION("""COMPUTED_VALUE"""),0)</f>
        <v>0</v>
      </c>
      <c r="L41" s="3">
        <f ca="1">IFERROR(__xludf.DUMMYFUNCTION("""COMPUTED_VALUE"""),0)</f>
        <v>0</v>
      </c>
      <c r="M41" s="3">
        <f ca="1">IFERROR(__xludf.DUMMYFUNCTION("""COMPUTED_VALUE"""),0)</f>
        <v>0</v>
      </c>
      <c r="N41" s="12">
        <f ca="1">IF(M41="",, SUM(B41:M41))</f>
        <v>13148.7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7" t="str">
        <f ca="1">IFERROR(__xludf.DUMMYFUNCTION("""COMPUTED_VALUE"""),"Destilados")</f>
        <v>Destilados</v>
      </c>
      <c r="B42" s="13">
        <f ca="1">IFERROR(__xludf.DUMMYFUNCTION("""COMPUTED_VALUE"""),74605.61)</f>
        <v>74605.61</v>
      </c>
      <c r="C42" s="3">
        <f ca="1">IFERROR(__xludf.DUMMYFUNCTION("""COMPUTED_VALUE"""),0)</f>
        <v>0</v>
      </c>
      <c r="D42" s="3">
        <f ca="1">IFERROR(__xludf.DUMMYFUNCTION("""COMPUTED_VALUE"""),0)</f>
        <v>0</v>
      </c>
      <c r="E42" s="3">
        <f ca="1">IFERROR(__xludf.DUMMYFUNCTION("""COMPUTED_VALUE"""),0)</f>
        <v>0</v>
      </c>
      <c r="F42" s="3">
        <f ca="1">IFERROR(__xludf.DUMMYFUNCTION("""COMPUTED_VALUE"""),0)</f>
        <v>0</v>
      </c>
      <c r="G42" s="3">
        <f ca="1">IFERROR(__xludf.DUMMYFUNCTION("""COMPUTED_VALUE"""),0)</f>
        <v>0</v>
      </c>
      <c r="H42" s="3">
        <f ca="1">IFERROR(__xludf.DUMMYFUNCTION("""COMPUTED_VALUE"""),0)</f>
        <v>0</v>
      </c>
      <c r="I42" s="3">
        <f ca="1">IFERROR(__xludf.DUMMYFUNCTION("""COMPUTED_VALUE"""),0)</f>
        <v>0</v>
      </c>
      <c r="J42" s="3">
        <f ca="1">IFERROR(__xludf.DUMMYFUNCTION("""COMPUTED_VALUE"""),0)</f>
        <v>0</v>
      </c>
      <c r="K42" s="3">
        <f ca="1">IFERROR(__xludf.DUMMYFUNCTION("""COMPUTED_VALUE"""),0)</f>
        <v>0</v>
      </c>
      <c r="L42" s="3">
        <f ca="1">IFERROR(__xludf.DUMMYFUNCTION("""COMPUTED_VALUE"""),0)</f>
        <v>0</v>
      </c>
      <c r="M42" s="3">
        <f ca="1">IFERROR(__xludf.DUMMYFUNCTION("""COMPUTED_VALUE"""),0)</f>
        <v>0</v>
      </c>
      <c r="N42" s="12">
        <f ca="1">IF(M42="",, SUM(B42:M42))</f>
        <v>74605.61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7" t="str">
        <f ca="1">IFERROR(__xludf.DUMMYFUNCTION("""COMPUTED_VALUE"""),"Vinos")</f>
        <v>Vinos</v>
      </c>
      <c r="B43" s="13">
        <f ca="1">IFERROR(__xludf.DUMMYFUNCTION("""COMPUTED_VALUE"""),21793.11)</f>
        <v>21793.11</v>
      </c>
      <c r="C43" s="3">
        <f ca="1">IFERROR(__xludf.DUMMYFUNCTION("""COMPUTED_VALUE"""),0)</f>
        <v>0</v>
      </c>
      <c r="D43" s="3">
        <f ca="1">IFERROR(__xludf.DUMMYFUNCTION("""COMPUTED_VALUE"""),0)</f>
        <v>0</v>
      </c>
      <c r="E43" s="3">
        <f ca="1">IFERROR(__xludf.DUMMYFUNCTION("""COMPUTED_VALUE"""),0)</f>
        <v>0</v>
      </c>
      <c r="F43" s="3">
        <f ca="1">IFERROR(__xludf.DUMMYFUNCTION("""COMPUTED_VALUE"""),0)</f>
        <v>0</v>
      </c>
      <c r="G43" s="3">
        <f ca="1">IFERROR(__xludf.DUMMYFUNCTION("""COMPUTED_VALUE"""),0)</f>
        <v>0</v>
      </c>
      <c r="H43" s="3">
        <f ca="1">IFERROR(__xludf.DUMMYFUNCTION("""COMPUTED_VALUE"""),0)</f>
        <v>0</v>
      </c>
      <c r="I43" s="3">
        <f ca="1">IFERROR(__xludf.DUMMYFUNCTION("""COMPUTED_VALUE"""),0)</f>
        <v>0</v>
      </c>
      <c r="J43" s="3">
        <f ca="1">IFERROR(__xludf.DUMMYFUNCTION("""COMPUTED_VALUE"""),0)</f>
        <v>0</v>
      </c>
      <c r="K43" s="3">
        <f ca="1">IFERROR(__xludf.DUMMYFUNCTION("""COMPUTED_VALUE"""),0)</f>
        <v>0</v>
      </c>
      <c r="L43" s="3">
        <f ca="1">IFERROR(__xludf.DUMMYFUNCTION("""COMPUTED_VALUE"""),0)</f>
        <v>0</v>
      </c>
      <c r="M43" s="3">
        <f ca="1">IFERROR(__xludf.DUMMYFUNCTION("""COMPUTED_VALUE"""),0)</f>
        <v>0</v>
      </c>
      <c r="N43" s="12">
        <f ca="1">IF(M43="",, SUM(B43:M43))</f>
        <v>21793.11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7" t="str">
        <f ca="1">IFERROR(__xludf.DUMMYFUNCTION("""COMPUTED_VALUE"""),"")</f>
        <v/>
      </c>
      <c r="B44" s="13" t="str">
        <f ca="1">IFERROR(__xludf.DUMMYFUNCTION("""COMPUTED_VALUE"""),"")</f>
        <v/>
      </c>
      <c r="C44" s="3" t="str">
        <f ca="1">IFERROR(__xludf.DUMMYFUNCTION("""COMPUTED_VALUE"""),"")</f>
        <v/>
      </c>
      <c r="D44" s="3" t="str">
        <f ca="1">IFERROR(__xludf.DUMMYFUNCTION("""COMPUTED_VALUE"""),"")</f>
        <v/>
      </c>
      <c r="E44" s="3" t="str">
        <f ca="1">IFERROR(__xludf.DUMMYFUNCTION("""COMPUTED_VALUE"""),"")</f>
        <v/>
      </c>
      <c r="F44" s="3" t="str">
        <f ca="1">IFERROR(__xludf.DUMMYFUNCTION("""COMPUTED_VALUE"""),"")</f>
        <v/>
      </c>
      <c r="G44" s="3" t="str">
        <f ca="1">IFERROR(__xludf.DUMMYFUNCTION("""COMPUTED_VALUE"""),"")</f>
        <v/>
      </c>
      <c r="H44" s="3" t="str">
        <f ca="1">IFERROR(__xludf.DUMMYFUNCTION("""COMPUTED_VALUE"""),"")</f>
        <v/>
      </c>
      <c r="I44" s="3" t="str">
        <f ca="1">IFERROR(__xludf.DUMMYFUNCTION("""COMPUTED_VALUE"""),"")</f>
        <v/>
      </c>
      <c r="J44" s="3" t="str">
        <f ca="1">IFERROR(__xludf.DUMMYFUNCTION("""COMPUTED_VALUE"""),"")</f>
        <v/>
      </c>
      <c r="K44" s="3" t="str">
        <f ca="1">IFERROR(__xludf.DUMMYFUNCTION("""COMPUTED_VALUE"""),"")</f>
        <v/>
      </c>
      <c r="L44" s="3" t="str">
        <f ca="1">IFERROR(__xludf.DUMMYFUNCTION("""COMPUTED_VALUE"""),"")</f>
        <v/>
      </c>
      <c r="M44" s="3" t="str">
        <f ca="1">IFERROR(__xludf.DUMMYFUNCTION("""COMPUTED_VALUE"""),"")</f>
        <v/>
      </c>
      <c r="N44" s="12">
        <f ca="1">IF(M44="",, SUM(B44:M44))</f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7"/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2">
        <f>IF(M45="",, SUM(B45:M45))</f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7"/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2">
        <f>IF(M46="",, SUM(B46:M46))</f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7"/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2">
        <f>IF(M47="",, SUM(B47:M47))</f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7"/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0"/>
      <c r="B49" s="11"/>
      <c r="C49" s="1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6"/>
      <c r="B50" s="12">
        <f ca="1">SUM(B5:B48)/2</f>
        <v>8986390.6199999768</v>
      </c>
      <c r="C50" s="12">
        <f ca="1">SUM(C5:C48)/2</f>
        <v>0</v>
      </c>
      <c r="D50" s="12">
        <f ca="1">SUM(D5:D48)/2</f>
        <v>0</v>
      </c>
      <c r="E50" s="12">
        <f ca="1">SUM(E5:E48)/2</f>
        <v>0</v>
      </c>
      <c r="F50" s="12">
        <f ca="1">SUM(F5:F48)/2</f>
        <v>0</v>
      </c>
      <c r="G50" s="12">
        <f ca="1">SUM(G5:G48)/2</f>
        <v>0</v>
      </c>
      <c r="H50" s="12">
        <f ca="1">SUM(H5:H48)/2</f>
        <v>0</v>
      </c>
      <c r="I50" s="12">
        <f ca="1">SUM(I5:I48)/2</f>
        <v>0</v>
      </c>
      <c r="J50" s="12">
        <f ca="1">SUM(J5:J48)/2</f>
        <v>0</v>
      </c>
      <c r="K50" s="12">
        <f ca="1">SUM(K5:K48)/2</f>
        <v>0</v>
      </c>
      <c r="L50" s="12">
        <f ca="1">SUM(L5:L48)/2</f>
        <v>0</v>
      </c>
      <c r="M50" s="12">
        <f ca="1">SUM(M5:M48)/2</f>
        <v>0</v>
      </c>
      <c r="N50" s="12">
        <f ca="1">SUM(N5:N48)/2</f>
        <v>8986390.6199999768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2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4" t="s">
        <v>17</v>
      </c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outlineLevel="1" x14ac:dyDescent="0.2">
      <c r="A53" s="1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outlineLevel="1" x14ac:dyDescent="0.2">
      <c r="A54" s="2" t="str">
        <f ca="1">IFERROR(__xludf.DUMMYFUNCTION("LET(
  base, 'COSTOS ER BASE 2026'!A2:O1106,
  sucursales, UNIQUE(FILTER(INDEX(base,,1), INDEX(base,,1) &lt;&gt; """")),
  v_12, MAKEARRAY(1, 12, LAMBDA(r, c, """")),
  v_13, MAKEARRAY(1, 13, LAMBDA(r, c, """")),
  resultado, REDUCE(v_13, sucursales, LAMBDA(acc"&amp;", s, 
    LET(
      s_safe, SUBSTITUTE(s, ""'"", ""''""),
      datos_s, FILTER(CHOOSECOLS(base, 4, 5, 6, 7, 8, 9, 10, 11, 12, 13, 14, 15), INDEX(base,,1) = s),
      sum_s, BYCOL(datos_s, LAMBDA(col, SUM(col))),
      res_q, IFERROR(
        QUERY(base,"&amp;" 
          ""SELECT Col2, SUM(Col4), SUM(Col5), SUM(Col6), SUM(Col7), SUM(Col8), SUM(Col9), SUM(Col10), SUM(Col11), SUM(Col12), SUM(Col13), SUM(Col14), SUM(Col15) 
           WHERE Col1 = '""&amp;s_safe&amp;""' 
           GROUP BY Col2 
           LABEL SUM(Col"&amp;"4) '', SUM(Col5) '', SUM(Col6) '', SUM(Col7) '', SUM(Col8) '', SUM(Col9) '', SUM(Col10) '', SUM(Col11) '', SUM(Col12) '', SUM(Col13) '', SUM(Col14) '', SUM(Col15) ''"", 0), 
        v_13),
      bloque, VSTACK(
        HSTACK(s, sum_s), 
        v_13, 
  "&amp;"      res_q, 
        v_13
      ),
      IF(INDEX(acc, 1, 1) = """", bloque, VSTACK(acc, bloque))
    )
  )),
  resultado
)"),"A")</f>
        <v>A</v>
      </c>
      <c r="B54" s="3">
        <f ca="1">IFERROR(__xludf.DUMMYFUNCTION("""COMPUTED_VALUE"""),968226.781879399)</f>
        <v>968226.78187939897</v>
      </c>
      <c r="C54" s="3">
        <f ca="1">IFERROR(__xludf.DUMMYFUNCTION("""COMPUTED_VALUE"""),0)</f>
        <v>0</v>
      </c>
      <c r="D54" s="3">
        <f ca="1">IFERROR(__xludf.DUMMYFUNCTION("""COMPUTED_VALUE"""),0)</f>
        <v>0</v>
      </c>
      <c r="E54" s="3">
        <f ca="1">IFERROR(__xludf.DUMMYFUNCTION("""COMPUTED_VALUE"""),0)</f>
        <v>0</v>
      </c>
      <c r="F54" s="3">
        <f ca="1">IFERROR(__xludf.DUMMYFUNCTION("""COMPUTED_VALUE"""),0)</f>
        <v>0</v>
      </c>
      <c r="G54" s="3">
        <f ca="1">IFERROR(__xludf.DUMMYFUNCTION("""COMPUTED_VALUE"""),0)</f>
        <v>0</v>
      </c>
      <c r="H54" s="3">
        <f ca="1">IFERROR(__xludf.DUMMYFUNCTION("""COMPUTED_VALUE"""),0)</f>
        <v>0</v>
      </c>
      <c r="I54" s="3">
        <f ca="1">IFERROR(__xludf.DUMMYFUNCTION("""COMPUTED_VALUE"""),0)</f>
        <v>0</v>
      </c>
      <c r="J54" s="3">
        <f ca="1">IFERROR(__xludf.DUMMYFUNCTION("""COMPUTED_VALUE"""),0)</f>
        <v>0</v>
      </c>
      <c r="K54" s="3">
        <f ca="1">IFERROR(__xludf.DUMMYFUNCTION("""COMPUTED_VALUE"""),0)</f>
        <v>0</v>
      </c>
      <c r="L54" s="3">
        <f ca="1">IFERROR(__xludf.DUMMYFUNCTION("""COMPUTED_VALUE"""),0)</f>
        <v>0</v>
      </c>
      <c r="M54" s="3">
        <f ca="1">IFERROR(__xludf.DUMMYFUNCTION("""COMPUTED_VALUE"""),0)</f>
        <v>0</v>
      </c>
      <c r="N54" s="12">
        <f ca="1">IF(M54="",, SUM(B54:M54))</f>
        <v>968226.78187939897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outlineLevel="1" x14ac:dyDescent="0.2">
      <c r="A55" s="2" t="str">
        <f ca="1">IFERROR(__xludf.DUMMYFUNCTION("""COMPUTED_VALUE"""),"")</f>
        <v/>
      </c>
      <c r="B55" s="3" t="str">
        <f ca="1">IFERROR(__xludf.DUMMYFUNCTION("""COMPUTED_VALUE"""),"")</f>
        <v/>
      </c>
      <c r="C55" s="3" t="str">
        <f ca="1">IFERROR(__xludf.DUMMYFUNCTION("""COMPUTED_VALUE"""),"")</f>
        <v/>
      </c>
      <c r="D55" s="3" t="str">
        <f ca="1">IFERROR(__xludf.DUMMYFUNCTION("""COMPUTED_VALUE"""),"")</f>
        <v/>
      </c>
      <c r="E55" s="3" t="str">
        <f ca="1">IFERROR(__xludf.DUMMYFUNCTION("""COMPUTED_VALUE"""),"")</f>
        <v/>
      </c>
      <c r="F55" s="3" t="str">
        <f ca="1">IFERROR(__xludf.DUMMYFUNCTION("""COMPUTED_VALUE"""),"")</f>
        <v/>
      </c>
      <c r="G55" s="3" t="str">
        <f ca="1">IFERROR(__xludf.DUMMYFUNCTION("""COMPUTED_VALUE"""),"")</f>
        <v/>
      </c>
      <c r="H55" s="3" t="str">
        <f ca="1">IFERROR(__xludf.DUMMYFUNCTION("""COMPUTED_VALUE"""),"")</f>
        <v/>
      </c>
      <c r="I55" s="3" t="str">
        <f ca="1">IFERROR(__xludf.DUMMYFUNCTION("""COMPUTED_VALUE"""),"")</f>
        <v/>
      </c>
      <c r="J55" s="3" t="str">
        <f ca="1">IFERROR(__xludf.DUMMYFUNCTION("""COMPUTED_VALUE"""),"")</f>
        <v/>
      </c>
      <c r="K55" s="3" t="str">
        <f ca="1">IFERROR(__xludf.DUMMYFUNCTION("""COMPUTED_VALUE"""),"")</f>
        <v/>
      </c>
      <c r="L55" s="3" t="str">
        <f ca="1">IFERROR(__xludf.DUMMYFUNCTION("""COMPUTED_VALUE"""),"")</f>
        <v/>
      </c>
      <c r="M55" s="3" t="str">
        <f ca="1">IFERROR(__xludf.DUMMYFUNCTION("""COMPUTED_VALUE"""),"")</f>
        <v/>
      </c>
      <c r="N55" s="12">
        <f ca="1">IF(M55="",, SUM(B55:M55))</f>
        <v>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outlineLevel="1" x14ac:dyDescent="0.2">
      <c r="A56" s="2" t="str">
        <f ca="1">IFERROR(__xludf.DUMMYFUNCTION("""COMPUTED_VALUE"""),"Alimentos")</f>
        <v>Alimentos</v>
      </c>
      <c r="B56" s="3">
        <f ca="1">IFERROR(__xludf.DUMMYFUNCTION("""COMPUTED_VALUE"""),707511.4773375)</f>
        <v>707511.47733749996</v>
      </c>
      <c r="C56" s="3">
        <f ca="1">IFERROR(__xludf.DUMMYFUNCTION("""COMPUTED_VALUE"""),0)</f>
        <v>0</v>
      </c>
      <c r="D56" s="3">
        <f ca="1">IFERROR(__xludf.DUMMYFUNCTION("""COMPUTED_VALUE"""),0)</f>
        <v>0</v>
      </c>
      <c r="E56" s="3">
        <f ca="1">IFERROR(__xludf.DUMMYFUNCTION("""COMPUTED_VALUE"""),0)</f>
        <v>0</v>
      </c>
      <c r="F56" s="3">
        <f ca="1">IFERROR(__xludf.DUMMYFUNCTION("""COMPUTED_VALUE"""),0)</f>
        <v>0</v>
      </c>
      <c r="G56" s="3">
        <f ca="1">IFERROR(__xludf.DUMMYFUNCTION("""COMPUTED_VALUE"""),0)</f>
        <v>0</v>
      </c>
      <c r="H56" s="3">
        <f ca="1">IFERROR(__xludf.DUMMYFUNCTION("""COMPUTED_VALUE"""),0)</f>
        <v>0</v>
      </c>
      <c r="I56" s="3">
        <f ca="1">IFERROR(__xludf.DUMMYFUNCTION("""COMPUTED_VALUE"""),0)</f>
        <v>0</v>
      </c>
      <c r="J56" s="3">
        <f ca="1">IFERROR(__xludf.DUMMYFUNCTION("""COMPUTED_VALUE"""),0)</f>
        <v>0</v>
      </c>
      <c r="K56" s="3">
        <f ca="1">IFERROR(__xludf.DUMMYFUNCTION("""COMPUTED_VALUE"""),0)</f>
        <v>0</v>
      </c>
      <c r="L56" s="3">
        <f ca="1">IFERROR(__xludf.DUMMYFUNCTION("""COMPUTED_VALUE"""),0)</f>
        <v>0</v>
      </c>
      <c r="M56" s="3">
        <f ca="1">IFERROR(__xludf.DUMMYFUNCTION("""COMPUTED_VALUE"""),0)</f>
        <v>0</v>
      </c>
      <c r="N56" s="12">
        <f ca="1">IF(M56="",, SUM(B56:M56))</f>
        <v>707511.47733749996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outlineLevel="1" x14ac:dyDescent="0.2">
      <c r="A57" s="2" t="str">
        <f ca="1">IFERROR(__xludf.DUMMYFUNCTION("""COMPUTED_VALUE"""),"Bebidas")</f>
        <v>Bebidas</v>
      </c>
      <c r="B57" s="3">
        <f ca="1">IFERROR(__xludf.DUMMYFUNCTION("""COMPUTED_VALUE"""),114321.893078999)</f>
        <v>114321.893078999</v>
      </c>
      <c r="C57" s="3">
        <f ca="1">IFERROR(__xludf.DUMMYFUNCTION("""COMPUTED_VALUE"""),0)</f>
        <v>0</v>
      </c>
      <c r="D57" s="3">
        <f ca="1">IFERROR(__xludf.DUMMYFUNCTION("""COMPUTED_VALUE"""),0)</f>
        <v>0</v>
      </c>
      <c r="E57" s="3">
        <f ca="1">IFERROR(__xludf.DUMMYFUNCTION("""COMPUTED_VALUE"""),0)</f>
        <v>0</v>
      </c>
      <c r="F57" s="3">
        <f ca="1">IFERROR(__xludf.DUMMYFUNCTION("""COMPUTED_VALUE"""),0)</f>
        <v>0</v>
      </c>
      <c r="G57" s="3">
        <f ca="1">IFERROR(__xludf.DUMMYFUNCTION("""COMPUTED_VALUE"""),0)</f>
        <v>0</v>
      </c>
      <c r="H57" s="3">
        <f ca="1">IFERROR(__xludf.DUMMYFUNCTION("""COMPUTED_VALUE"""),0)</f>
        <v>0</v>
      </c>
      <c r="I57" s="3">
        <f ca="1">IFERROR(__xludf.DUMMYFUNCTION("""COMPUTED_VALUE"""),0)</f>
        <v>0</v>
      </c>
      <c r="J57" s="3">
        <f ca="1">IFERROR(__xludf.DUMMYFUNCTION("""COMPUTED_VALUE"""),0)</f>
        <v>0</v>
      </c>
      <c r="K57" s="3">
        <f ca="1">IFERROR(__xludf.DUMMYFUNCTION("""COMPUTED_VALUE"""),0)</f>
        <v>0</v>
      </c>
      <c r="L57" s="3">
        <f ca="1">IFERROR(__xludf.DUMMYFUNCTION("""COMPUTED_VALUE"""),0)</f>
        <v>0</v>
      </c>
      <c r="M57" s="3">
        <f ca="1">IFERROR(__xludf.DUMMYFUNCTION("""COMPUTED_VALUE"""),0)</f>
        <v>0</v>
      </c>
      <c r="N57" s="12">
        <f ca="1">IF(M57="",, SUM(B57:M57))</f>
        <v>114321.893078999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outlineLevel="1" x14ac:dyDescent="0.2">
      <c r="A58" s="2" t="str">
        <f ca="1">IFERROR(__xludf.DUMMYFUNCTION("""COMPUTED_VALUE"""),"Café Inf")</f>
        <v>Café Inf</v>
      </c>
      <c r="B58" s="3">
        <f ca="1">IFERROR(__xludf.DUMMYFUNCTION("""COMPUTED_VALUE"""),9410.00928)</f>
        <v>9410.0092800000002</v>
      </c>
      <c r="C58" s="3">
        <f ca="1">IFERROR(__xludf.DUMMYFUNCTION("""COMPUTED_VALUE"""),0)</f>
        <v>0</v>
      </c>
      <c r="D58" s="3">
        <f ca="1">IFERROR(__xludf.DUMMYFUNCTION("""COMPUTED_VALUE"""),0)</f>
        <v>0</v>
      </c>
      <c r="E58" s="3">
        <f ca="1">IFERROR(__xludf.DUMMYFUNCTION("""COMPUTED_VALUE"""),0)</f>
        <v>0</v>
      </c>
      <c r="F58" s="3">
        <f ca="1">IFERROR(__xludf.DUMMYFUNCTION("""COMPUTED_VALUE"""),0)</f>
        <v>0</v>
      </c>
      <c r="G58" s="3">
        <f ca="1">IFERROR(__xludf.DUMMYFUNCTION("""COMPUTED_VALUE"""),0)</f>
        <v>0</v>
      </c>
      <c r="H58" s="3">
        <f ca="1">IFERROR(__xludf.DUMMYFUNCTION("""COMPUTED_VALUE"""),0)</f>
        <v>0</v>
      </c>
      <c r="I58" s="3">
        <f ca="1">IFERROR(__xludf.DUMMYFUNCTION("""COMPUTED_VALUE"""),0)</f>
        <v>0</v>
      </c>
      <c r="J58" s="3">
        <f ca="1">IFERROR(__xludf.DUMMYFUNCTION("""COMPUTED_VALUE"""),0)</f>
        <v>0</v>
      </c>
      <c r="K58" s="3">
        <f ca="1">IFERROR(__xludf.DUMMYFUNCTION("""COMPUTED_VALUE"""),0)</f>
        <v>0</v>
      </c>
      <c r="L58" s="3">
        <f ca="1">IFERROR(__xludf.DUMMYFUNCTION("""COMPUTED_VALUE"""),0)</f>
        <v>0</v>
      </c>
      <c r="M58" s="3">
        <f ca="1">IFERROR(__xludf.DUMMYFUNCTION("""COMPUTED_VALUE"""),0)</f>
        <v>0</v>
      </c>
      <c r="N58" s="12">
        <f ca="1">IF(M58="",, SUM(B58:M58))</f>
        <v>9410.0092800000002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outlineLevel="1" x14ac:dyDescent="0.2">
      <c r="A59" s="2" t="str">
        <f ca="1">IFERROR(__xludf.DUMMYFUNCTION("""COMPUTED_VALUE"""),"Destilados")</f>
        <v>Destilados</v>
      </c>
      <c r="B59" s="3">
        <f ca="1">IFERROR(__xludf.DUMMYFUNCTION("""COMPUTED_VALUE"""),97522.3368654999)</f>
        <v>97522.336865499907</v>
      </c>
      <c r="C59" s="3">
        <f ca="1">IFERROR(__xludf.DUMMYFUNCTION("""COMPUTED_VALUE"""),0)</f>
        <v>0</v>
      </c>
      <c r="D59" s="3">
        <f ca="1">IFERROR(__xludf.DUMMYFUNCTION("""COMPUTED_VALUE"""),0)</f>
        <v>0</v>
      </c>
      <c r="E59" s="3">
        <f ca="1">IFERROR(__xludf.DUMMYFUNCTION("""COMPUTED_VALUE"""),0)</f>
        <v>0</v>
      </c>
      <c r="F59" s="3">
        <f ca="1">IFERROR(__xludf.DUMMYFUNCTION("""COMPUTED_VALUE"""),0)</f>
        <v>0</v>
      </c>
      <c r="G59" s="3">
        <f ca="1">IFERROR(__xludf.DUMMYFUNCTION("""COMPUTED_VALUE"""),0)</f>
        <v>0</v>
      </c>
      <c r="H59" s="3">
        <f ca="1">IFERROR(__xludf.DUMMYFUNCTION("""COMPUTED_VALUE"""),0)</f>
        <v>0</v>
      </c>
      <c r="I59" s="3">
        <f ca="1">IFERROR(__xludf.DUMMYFUNCTION("""COMPUTED_VALUE"""),0)</f>
        <v>0</v>
      </c>
      <c r="J59" s="3">
        <f ca="1">IFERROR(__xludf.DUMMYFUNCTION("""COMPUTED_VALUE"""),0)</f>
        <v>0</v>
      </c>
      <c r="K59" s="3">
        <f ca="1">IFERROR(__xludf.DUMMYFUNCTION("""COMPUTED_VALUE"""),0)</f>
        <v>0</v>
      </c>
      <c r="L59" s="3">
        <f ca="1">IFERROR(__xludf.DUMMYFUNCTION("""COMPUTED_VALUE"""),0)</f>
        <v>0</v>
      </c>
      <c r="M59" s="3">
        <f ca="1">IFERROR(__xludf.DUMMYFUNCTION("""COMPUTED_VALUE"""),0)</f>
        <v>0</v>
      </c>
      <c r="N59" s="12">
        <f ca="1">IF(M59="",, SUM(B59:M59))</f>
        <v>97522.336865499907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outlineLevel="1" x14ac:dyDescent="0.2">
      <c r="A60" s="2" t="str">
        <f ca="1">IFERROR(__xludf.DUMMYFUNCTION("""COMPUTED_VALUE"""),"Vinos")</f>
        <v>Vinos</v>
      </c>
      <c r="B60" s="3">
        <f ca="1">IFERROR(__xludf.DUMMYFUNCTION("""COMPUTED_VALUE"""),39461.0653174)</f>
        <v>39461.065317400004</v>
      </c>
      <c r="C60" s="3">
        <f ca="1">IFERROR(__xludf.DUMMYFUNCTION("""COMPUTED_VALUE"""),0)</f>
        <v>0</v>
      </c>
      <c r="D60" s="3">
        <f ca="1">IFERROR(__xludf.DUMMYFUNCTION("""COMPUTED_VALUE"""),0)</f>
        <v>0</v>
      </c>
      <c r="E60" s="3">
        <f ca="1">IFERROR(__xludf.DUMMYFUNCTION("""COMPUTED_VALUE"""),0)</f>
        <v>0</v>
      </c>
      <c r="F60" s="3">
        <f ca="1">IFERROR(__xludf.DUMMYFUNCTION("""COMPUTED_VALUE"""),0)</f>
        <v>0</v>
      </c>
      <c r="G60" s="3">
        <f ca="1">IFERROR(__xludf.DUMMYFUNCTION("""COMPUTED_VALUE"""),0)</f>
        <v>0</v>
      </c>
      <c r="H60" s="3">
        <f ca="1">IFERROR(__xludf.DUMMYFUNCTION("""COMPUTED_VALUE"""),0)</f>
        <v>0</v>
      </c>
      <c r="I60" s="3">
        <f ca="1">IFERROR(__xludf.DUMMYFUNCTION("""COMPUTED_VALUE"""),0)</f>
        <v>0</v>
      </c>
      <c r="J60" s="3">
        <f ca="1">IFERROR(__xludf.DUMMYFUNCTION("""COMPUTED_VALUE"""),0)</f>
        <v>0</v>
      </c>
      <c r="K60" s="3">
        <f ca="1">IFERROR(__xludf.DUMMYFUNCTION("""COMPUTED_VALUE"""),0)</f>
        <v>0</v>
      </c>
      <c r="L60" s="3">
        <f ca="1">IFERROR(__xludf.DUMMYFUNCTION("""COMPUTED_VALUE"""),0)</f>
        <v>0</v>
      </c>
      <c r="M60" s="3">
        <f ca="1">IFERROR(__xludf.DUMMYFUNCTION("""COMPUTED_VALUE"""),0)</f>
        <v>0</v>
      </c>
      <c r="N60" s="12">
        <f ca="1">IF(M60="",, SUM(B60:M60))</f>
        <v>39461.065317400004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outlineLevel="1" x14ac:dyDescent="0.2">
      <c r="A61" s="2" t="str">
        <f ca="1">IFERROR(__xludf.DUMMYFUNCTION("""COMPUTED_VALUE"""),"")</f>
        <v/>
      </c>
      <c r="B61" s="3" t="str">
        <f ca="1">IFERROR(__xludf.DUMMYFUNCTION("""COMPUTED_VALUE"""),"")</f>
        <v/>
      </c>
      <c r="C61" s="3" t="str">
        <f ca="1">IFERROR(__xludf.DUMMYFUNCTION("""COMPUTED_VALUE"""),"")</f>
        <v/>
      </c>
      <c r="D61" s="3" t="str">
        <f ca="1">IFERROR(__xludf.DUMMYFUNCTION("""COMPUTED_VALUE"""),"")</f>
        <v/>
      </c>
      <c r="E61" s="3" t="str">
        <f ca="1">IFERROR(__xludf.DUMMYFUNCTION("""COMPUTED_VALUE"""),"")</f>
        <v/>
      </c>
      <c r="F61" s="3" t="str">
        <f ca="1">IFERROR(__xludf.DUMMYFUNCTION("""COMPUTED_VALUE"""),"")</f>
        <v/>
      </c>
      <c r="G61" s="3" t="str">
        <f ca="1">IFERROR(__xludf.DUMMYFUNCTION("""COMPUTED_VALUE"""),"")</f>
        <v/>
      </c>
      <c r="H61" s="3" t="str">
        <f ca="1">IFERROR(__xludf.DUMMYFUNCTION("""COMPUTED_VALUE"""),"")</f>
        <v/>
      </c>
      <c r="I61" s="3" t="str">
        <f ca="1">IFERROR(__xludf.DUMMYFUNCTION("""COMPUTED_VALUE"""),"")</f>
        <v/>
      </c>
      <c r="J61" s="3" t="str">
        <f ca="1">IFERROR(__xludf.DUMMYFUNCTION("""COMPUTED_VALUE"""),"")</f>
        <v/>
      </c>
      <c r="K61" s="3" t="str">
        <f ca="1">IFERROR(__xludf.DUMMYFUNCTION("""COMPUTED_VALUE"""),"")</f>
        <v/>
      </c>
      <c r="L61" s="3" t="str">
        <f ca="1">IFERROR(__xludf.DUMMYFUNCTION("""COMPUTED_VALUE"""),"")</f>
        <v/>
      </c>
      <c r="M61" s="3" t="str">
        <f ca="1">IFERROR(__xludf.DUMMYFUNCTION("""COMPUTED_VALUE"""),"")</f>
        <v/>
      </c>
      <c r="N61" s="12">
        <f ca="1">IF(M61="",, SUM(B61:M61))</f>
        <v>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outlineLevel="1" x14ac:dyDescent="0.2">
      <c r="A62" s="2" t="str">
        <f ca="1">IFERROR(__xludf.DUMMYFUNCTION("""COMPUTED_VALUE"""),"B")</f>
        <v>B</v>
      </c>
      <c r="B62" s="3">
        <f ca="1">IFERROR(__xludf.DUMMYFUNCTION("""COMPUTED_VALUE"""),761117.075607439)</f>
        <v>761117.07560743904</v>
      </c>
      <c r="C62" s="3">
        <f ca="1">IFERROR(__xludf.DUMMYFUNCTION("""COMPUTED_VALUE"""),0)</f>
        <v>0</v>
      </c>
      <c r="D62" s="3">
        <f ca="1">IFERROR(__xludf.DUMMYFUNCTION("""COMPUTED_VALUE"""),0)</f>
        <v>0</v>
      </c>
      <c r="E62" s="3">
        <f ca="1">IFERROR(__xludf.DUMMYFUNCTION("""COMPUTED_VALUE"""),0)</f>
        <v>0</v>
      </c>
      <c r="F62" s="3">
        <f ca="1">IFERROR(__xludf.DUMMYFUNCTION("""COMPUTED_VALUE"""),0)</f>
        <v>0</v>
      </c>
      <c r="G62" s="3">
        <f ca="1">IFERROR(__xludf.DUMMYFUNCTION("""COMPUTED_VALUE"""),0)</f>
        <v>0</v>
      </c>
      <c r="H62" s="3">
        <f ca="1">IFERROR(__xludf.DUMMYFUNCTION("""COMPUTED_VALUE"""),0)</f>
        <v>0</v>
      </c>
      <c r="I62" s="3">
        <f ca="1">IFERROR(__xludf.DUMMYFUNCTION("""COMPUTED_VALUE"""),0)</f>
        <v>0</v>
      </c>
      <c r="J62" s="3">
        <f ca="1">IFERROR(__xludf.DUMMYFUNCTION("""COMPUTED_VALUE"""),0)</f>
        <v>0</v>
      </c>
      <c r="K62" s="3">
        <f ca="1">IFERROR(__xludf.DUMMYFUNCTION("""COMPUTED_VALUE"""),0)</f>
        <v>0</v>
      </c>
      <c r="L62" s="3">
        <f ca="1">IFERROR(__xludf.DUMMYFUNCTION("""COMPUTED_VALUE"""),0)</f>
        <v>0</v>
      </c>
      <c r="M62" s="3">
        <f ca="1">IFERROR(__xludf.DUMMYFUNCTION("""COMPUTED_VALUE"""),0)</f>
        <v>0</v>
      </c>
      <c r="N62" s="12">
        <f ca="1">IF(M62="",, SUM(B62:M62))</f>
        <v>761117.07560743904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outlineLevel="1" x14ac:dyDescent="0.2">
      <c r="A63" s="2" t="str">
        <f ca="1">IFERROR(__xludf.DUMMYFUNCTION("""COMPUTED_VALUE"""),"")</f>
        <v/>
      </c>
      <c r="B63" s="3" t="str">
        <f ca="1">IFERROR(__xludf.DUMMYFUNCTION("""COMPUTED_VALUE"""),"")</f>
        <v/>
      </c>
      <c r="C63" s="3" t="str">
        <f ca="1">IFERROR(__xludf.DUMMYFUNCTION("""COMPUTED_VALUE"""),"")</f>
        <v/>
      </c>
      <c r="D63" s="3" t="str">
        <f ca="1">IFERROR(__xludf.DUMMYFUNCTION("""COMPUTED_VALUE"""),"")</f>
        <v/>
      </c>
      <c r="E63" s="3" t="str">
        <f ca="1">IFERROR(__xludf.DUMMYFUNCTION("""COMPUTED_VALUE"""),"")</f>
        <v/>
      </c>
      <c r="F63" s="3" t="str">
        <f ca="1">IFERROR(__xludf.DUMMYFUNCTION("""COMPUTED_VALUE"""),"")</f>
        <v/>
      </c>
      <c r="G63" s="3" t="str">
        <f ca="1">IFERROR(__xludf.DUMMYFUNCTION("""COMPUTED_VALUE"""),"")</f>
        <v/>
      </c>
      <c r="H63" s="3" t="str">
        <f ca="1">IFERROR(__xludf.DUMMYFUNCTION("""COMPUTED_VALUE"""),"")</f>
        <v/>
      </c>
      <c r="I63" s="3" t="str">
        <f ca="1">IFERROR(__xludf.DUMMYFUNCTION("""COMPUTED_VALUE"""),"")</f>
        <v/>
      </c>
      <c r="J63" s="3" t="str">
        <f ca="1">IFERROR(__xludf.DUMMYFUNCTION("""COMPUTED_VALUE"""),"")</f>
        <v/>
      </c>
      <c r="K63" s="3" t="str">
        <f ca="1">IFERROR(__xludf.DUMMYFUNCTION("""COMPUTED_VALUE"""),"")</f>
        <v/>
      </c>
      <c r="L63" s="3" t="str">
        <f ca="1">IFERROR(__xludf.DUMMYFUNCTION("""COMPUTED_VALUE"""),"")</f>
        <v/>
      </c>
      <c r="M63" s="3" t="str">
        <f ca="1">IFERROR(__xludf.DUMMYFUNCTION("""COMPUTED_VALUE"""),"")</f>
        <v/>
      </c>
      <c r="N63" s="12">
        <f ca="1">IF(M63="",, SUM(B63:M63))</f>
        <v>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outlineLevel="1" x14ac:dyDescent="0.2">
      <c r="A64" s="2" t="str">
        <f ca="1">IFERROR(__xludf.DUMMYFUNCTION("""COMPUTED_VALUE"""),"Alimentos")</f>
        <v>Alimentos</v>
      </c>
      <c r="B64" s="3">
        <f ca="1">IFERROR(__xludf.DUMMYFUNCTION("""COMPUTED_VALUE"""),545221.957043239)</f>
        <v>545221.95704323903</v>
      </c>
      <c r="C64" s="3">
        <f ca="1">IFERROR(__xludf.DUMMYFUNCTION("""COMPUTED_VALUE"""),0)</f>
        <v>0</v>
      </c>
      <c r="D64" s="3">
        <f ca="1">IFERROR(__xludf.DUMMYFUNCTION("""COMPUTED_VALUE"""),0)</f>
        <v>0</v>
      </c>
      <c r="E64" s="3">
        <f ca="1">IFERROR(__xludf.DUMMYFUNCTION("""COMPUTED_VALUE"""),0)</f>
        <v>0</v>
      </c>
      <c r="F64" s="3">
        <f ca="1">IFERROR(__xludf.DUMMYFUNCTION("""COMPUTED_VALUE"""),0)</f>
        <v>0</v>
      </c>
      <c r="G64" s="3">
        <f ca="1">IFERROR(__xludf.DUMMYFUNCTION("""COMPUTED_VALUE"""),0)</f>
        <v>0</v>
      </c>
      <c r="H64" s="3">
        <f ca="1">IFERROR(__xludf.DUMMYFUNCTION("""COMPUTED_VALUE"""),0)</f>
        <v>0</v>
      </c>
      <c r="I64" s="3">
        <f ca="1">IFERROR(__xludf.DUMMYFUNCTION("""COMPUTED_VALUE"""),0)</f>
        <v>0</v>
      </c>
      <c r="J64" s="3">
        <f ca="1">IFERROR(__xludf.DUMMYFUNCTION("""COMPUTED_VALUE"""),0)</f>
        <v>0</v>
      </c>
      <c r="K64" s="3">
        <f ca="1">IFERROR(__xludf.DUMMYFUNCTION("""COMPUTED_VALUE"""),0)</f>
        <v>0</v>
      </c>
      <c r="L64" s="3">
        <f ca="1">IFERROR(__xludf.DUMMYFUNCTION("""COMPUTED_VALUE"""),0)</f>
        <v>0</v>
      </c>
      <c r="M64" s="3">
        <f ca="1">IFERROR(__xludf.DUMMYFUNCTION("""COMPUTED_VALUE"""),0)</f>
        <v>0</v>
      </c>
      <c r="N64" s="12">
        <f ca="1">IF(M64="",, SUM(B64:M64))</f>
        <v>545221.95704323903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outlineLevel="1" x14ac:dyDescent="0.2">
      <c r="A65" s="2" t="str">
        <f ca="1">IFERROR(__xludf.DUMMYFUNCTION("""COMPUTED_VALUE"""),"Bebidas")</f>
        <v>Bebidas</v>
      </c>
      <c r="B65" s="3">
        <f ca="1">IFERROR(__xludf.DUMMYFUNCTION("""COMPUTED_VALUE"""),81285.798498)</f>
        <v>81285.798498000004</v>
      </c>
      <c r="C65" s="3">
        <f ca="1">IFERROR(__xludf.DUMMYFUNCTION("""COMPUTED_VALUE"""),0)</f>
        <v>0</v>
      </c>
      <c r="D65" s="3">
        <f ca="1">IFERROR(__xludf.DUMMYFUNCTION("""COMPUTED_VALUE"""),0)</f>
        <v>0</v>
      </c>
      <c r="E65" s="3">
        <f ca="1">IFERROR(__xludf.DUMMYFUNCTION("""COMPUTED_VALUE"""),0)</f>
        <v>0</v>
      </c>
      <c r="F65" s="3">
        <f ca="1">IFERROR(__xludf.DUMMYFUNCTION("""COMPUTED_VALUE"""),0)</f>
        <v>0</v>
      </c>
      <c r="G65" s="3">
        <f ca="1">IFERROR(__xludf.DUMMYFUNCTION("""COMPUTED_VALUE"""),0)</f>
        <v>0</v>
      </c>
      <c r="H65" s="3">
        <f ca="1">IFERROR(__xludf.DUMMYFUNCTION("""COMPUTED_VALUE"""),0)</f>
        <v>0</v>
      </c>
      <c r="I65" s="3">
        <f ca="1">IFERROR(__xludf.DUMMYFUNCTION("""COMPUTED_VALUE"""),0)</f>
        <v>0</v>
      </c>
      <c r="J65" s="3">
        <f ca="1">IFERROR(__xludf.DUMMYFUNCTION("""COMPUTED_VALUE"""),0)</f>
        <v>0</v>
      </c>
      <c r="K65" s="3">
        <f ca="1">IFERROR(__xludf.DUMMYFUNCTION("""COMPUTED_VALUE"""),0)</f>
        <v>0</v>
      </c>
      <c r="L65" s="3">
        <f ca="1">IFERROR(__xludf.DUMMYFUNCTION("""COMPUTED_VALUE"""),0)</f>
        <v>0</v>
      </c>
      <c r="M65" s="3">
        <f ca="1">IFERROR(__xludf.DUMMYFUNCTION("""COMPUTED_VALUE"""),0)</f>
        <v>0</v>
      </c>
      <c r="N65" s="12">
        <f ca="1">IF(M65="",, SUM(B65:M65))</f>
        <v>81285.798498000004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outlineLevel="1" x14ac:dyDescent="0.2">
      <c r="A66" s="2" t="str">
        <f ca="1">IFERROR(__xludf.DUMMYFUNCTION("""COMPUTED_VALUE"""),"Café Inf")</f>
        <v>Café Inf</v>
      </c>
      <c r="B66" s="3">
        <f ca="1">IFERROR(__xludf.DUMMYFUNCTION("""COMPUTED_VALUE"""),8425.8384)</f>
        <v>8425.8384000000005</v>
      </c>
      <c r="C66" s="3">
        <f ca="1">IFERROR(__xludf.DUMMYFUNCTION("""COMPUTED_VALUE"""),0)</f>
        <v>0</v>
      </c>
      <c r="D66" s="3">
        <f ca="1">IFERROR(__xludf.DUMMYFUNCTION("""COMPUTED_VALUE"""),0)</f>
        <v>0</v>
      </c>
      <c r="E66" s="3">
        <f ca="1">IFERROR(__xludf.DUMMYFUNCTION("""COMPUTED_VALUE"""),0)</f>
        <v>0</v>
      </c>
      <c r="F66" s="3">
        <f ca="1">IFERROR(__xludf.DUMMYFUNCTION("""COMPUTED_VALUE"""),0)</f>
        <v>0</v>
      </c>
      <c r="G66" s="3">
        <f ca="1">IFERROR(__xludf.DUMMYFUNCTION("""COMPUTED_VALUE"""),0)</f>
        <v>0</v>
      </c>
      <c r="H66" s="3">
        <f ca="1">IFERROR(__xludf.DUMMYFUNCTION("""COMPUTED_VALUE"""),0)</f>
        <v>0</v>
      </c>
      <c r="I66" s="3">
        <f ca="1">IFERROR(__xludf.DUMMYFUNCTION("""COMPUTED_VALUE"""),0)</f>
        <v>0</v>
      </c>
      <c r="J66" s="3">
        <f ca="1">IFERROR(__xludf.DUMMYFUNCTION("""COMPUTED_VALUE"""),0)</f>
        <v>0</v>
      </c>
      <c r="K66" s="3">
        <f ca="1">IFERROR(__xludf.DUMMYFUNCTION("""COMPUTED_VALUE"""),0)</f>
        <v>0</v>
      </c>
      <c r="L66" s="3">
        <f ca="1">IFERROR(__xludf.DUMMYFUNCTION("""COMPUTED_VALUE"""),0)</f>
        <v>0</v>
      </c>
      <c r="M66" s="3">
        <f ca="1">IFERROR(__xludf.DUMMYFUNCTION("""COMPUTED_VALUE"""),0)</f>
        <v>0</v>
      </c>
      <c r="N66" s="12">
        <f ca="1">IF(M66="",, SUM(B66:M66))</f>
        <v>8425.8384000000005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outlineLevel="1" x14ac:dyDescent="0.2">
      <c r="A67" s="2" t="str">
        <f ca="1">IFERROR(__xludf.DUMMYFUNCTION("""COMPUTED_VALUE"""),"Destilados")</f>
        <v>Destilados</v>
      </c>
      <c r="B67" s="3">
        <f ca="1">IFERROR(__xludf.DUMMYFUNCTION("""COMPUTED_VALUE"""),96255.585121)</f>
        <v>96255.585120999996</v>
      </c>
      <c r="C67" s="3">
        <f ca="1">IFERROR(__xludf.DUMMYFUNCTION("""COMPUTED_VALUE"""),0)</f>
        <v>0</v>
      </c>
      <c r="D67" s="3">
        <f ca="1">IFERROR(__xludf.DUMMYFUNCTION("""COMPUTED_VALUE"""),0)</f>
        <v>0</v>
      </c>
      <c r="E67" s="3">
        <f ca="1">IFERROR(__xludf.DUMMYFUNCTION("""COMPUTED_VALUE"""),0)</f>
        <v>0</v>
      </c>
      <c r="F67" s="3">
        <f ca="1">IFERROR(__xludf.DUMMYFUNCTION("""COMPUTED_VALUE"""),0)</f>
        <v>0</v>
      </c>
      <c r="G67" s="3">
        <f ca="1">IFERROR(__xludf.DUMMYFUNCTION("""COMPUTED_VALUE"""),0)</f>
        <v>0</v>
      </c>
      <c r="H67" s="3">
        <f ca="1">IFERROR(__xludf.DUMMYFUNCTION("""COMPUTED_VALUE"""),0)</f>
        <v>0</v>
      </c>
      <c r="I67" s="3">
        <f ca="1">IFERROR(__xludf.DUMMYFUNCTION("""COMPUTED_VALUE"""),0)</f>
        <v>0</v>
      </c>
      <c r="J67" s="3">
        <f ca="1">IFERROR(__xludf.DUMMYFUNCTION("""COMPUTED_VALUE"""),0)</f>
        <v>0</v>
      </c>
      <c r="K67" s="3">
        <f ca="1">IFERROR(__xludf.DUMMYFUNCTION("""COMPUTED_VALUE"""),0)</f>
        <v>0</v>
      </c>
      <c r="L67" s="3">
        <f ca="1">IFERROR(__xludf.DUMMYFUNCTION("""COMPUTED_VALUE"""),0)</f>
        <v>0</v>
      </c>
      <c r="M67" s="3">
        <f ca="1">IFERROR(__xludf.DUMMYFUNCTION("""COMPUTED_VALUE"""),0)</f>
        <v>0</v>
      </c>
      <c r="N67" s="12">
        <f ca="1">IF(M67="",, SUM(B67:M67))</f>
        <v>96255.585120999996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outlineLevel="1" x14ac:dyDescent="0.2">
      <c r="A68" s="2" t="str">
        <f ca="1">IFERROR(__xludf.DUMMYFUNCTION("""COMPUTED_VALUE"""),"Vinos")</f>
        <v>Vinos</v>
      </c>
      <c r="B68" s="3">
        <f ca="1">IFERROR(__xludf.DUMMYFUNCTION("""COMPUTED_VALUE"""),29927.8965451999)</f>
        <v>29927.896545199899</v>
      </c>
      <c r="C68" s="3">
        <f ca="1">IFERROR(__xludf.DUMMYFUNCTION("""COMPUTED_VALUE"""),0)</f>
        <v>0</v>
      </c>
      <c r="D68" s="3">
        <f ca="1">IFERROR(__xludf.DUMMYFUNCTION("""COMPUTED_VALUE"""),0)</f>
        <v>0</v>
      </c>
      <c r="E68" s="3">
        <f ca="1">IFERROR(__xludf.DUMMYFUNCTION("""COMPUTED_VALUE"""),0)</f>
        <v>0</v>
      </c>
      <c r="F68" s="3">
        <f ca="1">IFERROR(__xludf.DUMMYFUNCTION("""COMPUTED_VALUE"""),0)</f>
        <v>0</v>
      </c>
      <c r="G68" s="3">
        <f ca="1">IFERROR(__xludf.DUMMYFUNCTION("""COMPUTED_VALUE"""),0)</f>
        <v>0</v>
      </c>
      <c r="H68" s="3">
        <f ca="1">IFERROR(__xludf.DUMMYFUNCTION("""COMPUTED_VALUE"""),0)</f>
        <v>0</v>
      </c>
      <c r="I68" s="3">
        <f ca="1">IFERROR(__xludf.DUMMYFUNCTION("""COMPUTED_VALUE"""),0)</f>
        <v>0</v>
      </c>
      <c r="J68" s="3">
        <f ca="1">IFERROR(__xludf.DUMMYFUNCTION("""COMPUTED_VALUE"""),0)</f>
        <v>0</v>
      </c>
      <c r="K68" s="3">
        <f ca="1">IFERROR(__xludf.DUMMYFUNCTION("""COMPUTED_VALUE"""),0)</f>
        <v>0</v>
      </c>
      <c r="L68" s="3">
        <f ca="1">IFERROR(__xludf.DUMMYFUNCTION("""COMPUTED_VALUE"""),0)</f>
        <v>0</v>
      </c>
      <c r="M68" s="3">
        <f ca="1">IFERROR(__xludf.DUMMYFUNCTION("""COMPUTED_VALUE"""),0)</f>
        <v>0</v>
      </c>
      <c r="N68" s="12">
        <f ca="1">IF(M68="",, SUM(B68:M68))</f>
        <v>29927.896545199899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outlineLevel="1" x14ac:dyDescent="0.2">
      <c r="A69" s="2" t="str">
        <f ca="1">IFERROR(__xludf.DUMMYFUNCTION("""COMPUTED_VALUE"""),"")</f>
        <v/>
      </c>
      <c r="B69" s="3" t="str">
        <f ca="1">IFERROR(__xludf.DUMMYFUNCTION("""COMPUTED_VALUE"""),"")</f>
        <v/>
      </c>
      <c r="C69" s="3" t="str">
        <f ca="1">IFERROR(__xludf.DUMMYFUNCTION("""COMPUTED_VALUE"""),"")</f>
        <v/>
      </c>
      <c r="D69" s="3" t="str">
        <f ca="1">IFERROR(__xludf.DUMMYFUNCTION("""COMPUTED_VALUE"""),"")</f>
        <v/>
      </c>
      <c r="E69" s="3" t="str">
        <f ca="1">IFERROR(__xludf.DUMMYFUNCTION("""COMPUTED_VALUE"""),"")</f>
        <v/>
      </c>
      <c r="F69" s="3" t="str">
        <f ca="1">IFERROR(__xludf.DUMMYFUNCTION("""COMPUTED_VALUE"""),"")</f>
        <v/>
      </c>
      <c r="G69" s="3" t="str">
        <f ca="1">IFERROR(__xludf.DUMMYFUNCTION("""COMPUTED_VALUE"""),"")</f>
        <v/>
      </c>
      <c r="H69" s="3" t="str">
        <f ca="1">IFERROR(__xludf.DUMMYFUNCTION("""COMPUTED_VALUE"""),"")</f>
        <v/>
      </c>
      <c r="I69" s="3" t="str">
        <f ca="1">IFERROR(__xludf.DUMMYFUNCTION("""COMPUTED_VALUE"""),"")</f>
        <v/>
      </c>
      <c r="J69" s="3" t="str">
        <f ca="1">IFERROR(__xludf.DUMMYFUNCTION("""COMPUTED_VALUE"""),"")</f>
        <v/>
      </c>
      <c r="K69" s="3" t="str">
        <f ca="1">IFERROR(__xludf.DUMMYFUNCTION("""COMPUTED_VALUE"""),"")</f>
        <v/>
      </c>
      <c r="L69" s="3" t="str">
        <f ca="1">IFERROR(__xludf.DUMMYFUNCTION("""COMPUTED_VALUE"""),"")</f>
        <v/>
      </c>
      <c r="M69" s="3" t="str">
        <f ca="1">IFERROR(__xludf.DUMMYFUNCTION("""COMPUTED_VALUE"""),"")</f>
        <v/>
      </c>
      <c r="N69" s="12">
        <f ca="1">IF(M69="",, SUM(B69:M69))</f>
        <v>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outlineLevel="1" x14ac:dyDescent="0.2">
      <c r="A70" s="2" t="str">
        <f ca="1">IFERROR(__xludf.DUMMYFUNCTION("""COMPUTED_VALUE"""),"C")</f>
        <v>C</v>
      </c>
      <c r="B70" s="3">
        <f ca="1">IFERROR(__xludf.DUMMYFUNCTION("""COMPUTED_VALUE"""),309557.129564)</f>
        <v>309557.129564</v>
      </c>
      <c r="C70" s="3">
        <f ca="1">IFERROR(__xludf.DUMMYFUNCTION("""COMPUTED_VALUE"""),0)</f>
        <v>0</v>
      </c>
      <c r="D70" s="3">
        <f ca="1">IFERROR(__xludf.DUMMYFUNCTION("""COMPUTED_VALUE"""),0)</f>
        <v>0</v>
      </c>
      <c r="E70" s="3">
        <f ca="1">IFERROR(__xludf.DUMMYFUNCTION("""COMPUTED_VALUE"""),0)</f>
        <v>0</v>
      </c>
      <c r="F70" s="3">
        <f ca="1">IFERROR(__xludf.DUMMYFUNCTION("""COMPUTED_VALUE"""),0)</f>
        <v>0</v>
      </c>
      <c r="G70" s="3">
        <f ca="1">IFERROR(__xludf.DUMMYFUNCTION("""COMPUTED_VALUE"""),0)</f>
        <v>0</v>
      </c>
      <c r="H70" s="3">
        <f ca="1">IFERROR(__xludf.DUMMYFUNCTION("""COMPUTED_VALUE"""),0)</f>
        <v>0</v>
      </c>
      <c r="I70" s="3">
        <f ca="1">IFERROR(__xludf.DUMMYFUNCTION("""COMPUTED_VALUE"""),0)</f>
        <v>0</v>
      </c>
      <c r="J70" s="3">
        <f ca="1">IFERROR(__xludf.DUMMYFUNCTION("""COMPUTED_VALUE"""),0)</f>
        <v>0</v>
      </c>
      <c r="K70" s="3">
        <f ca="1">IFERROR(__xludf.DUMMYFUNCTION("""COMPUTED_VALUE"""),0)</f>
        <v>0</v>
      </c>
      <c r="L70" s="3">
        <f ca="1">IFERROR(__xludf.DUMMYFUNCTION("""COMPUTED_VALUE"""),0)</f>
        <v>0</v>
      </c>
      <c r="M70" s="3">
        <f ca="1">IFERROR(__xludf.DUMMYFUNCTION("""COMPUTED_VALUE"""),0)</f>
        <v>0</v>
      </c>
      <c r="N70" s="12">
        <f ca="1">IF(M70="",, SUM(B70:M70))</f>
        <v>309557.129564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outlineLevel="1" x14ac:dyDescent="0.2">
      <c r="A71" s="2" t="str">
        <f ca="1">IFERROR(__xludf.DUMMYFUNCTION("""COMPUTED_VALUE"""),"")</f>
        <v/>
      </c>
      <c r="B71" s="3" t="str">
        <f ca="1">IFERROR(__xludf.DUMMYFUNCTION("""COMPUTED_VALUE"""),"")</f>
        <v/>
      </c>
      <c r="C71" s="3" t="str">
        <f ca="1">IFERROR(__xludf.DUMMYFUNCTION("""COMPUTED_VALUE"""),"")</f>
        <v/>
      </c>
      <c r="D71" s="3" t="str">
        <f ca="1">IFERROR(__xludf.DUMMYFUNCTION("""COMPUTED_VALUE"""),"")</f>
        <v/>
      </c>
      <c r="E71" s="3" t="str">
        <f ca="1">IFERROR(__xludf.DUMMYFUNCTION("""COMPUTED_VALUE"""),"")</f>
        <v/>
      </c>
      <c r="F71" s="3" t="str">
        <f ca="1">IFERROR(__xludf.DUMMYFUNCTION("""COMPUTED_VALUE"""),"")</f>
        <v/>
      </c>
      <c r="G71" s="3" t="str">
        <f ca="1">IFERROR(__xludf.DUMMYFUNCTION("""COMPUTED_VALUE"""),"")</f>
        <v/>
      </c>
      <c r="H71" s="3" t="str">
        <f ca="1">IFERROR(__xludf.DUMMYFUNCTION("""COMPUTED_VALUE"""),"")</f>
        <v/>
      </c>
      <c r="I71" s="3" t="str">
        <f ca="1">IFERROR(__xludf.DUMMYFUNCTION("""COMPUTED_VALUE"""),"")</f>
        <v/>
      </c>
      <c r="J71" s="3" t="str">
        <f ca="1">IFERROR(__xludf.DUMMYFUNCTION("""COMPUTED_VALUE"""),"")</f>
        <v/>
      </c>
      <c r="K71" s="3" t="str">
        <f ca="1">IFERROR(__xludf.DUMMYFUNCTION("""COMPUTED_VALUE"""),"")</f>
        <v/>
      </c>
      <c r="L71" s="3" t="str">
        <f ca="1">IFERROR(__xludf.DUMMYFUNCTION("""COMPUTED_VALUE"""),"")</f>
        <v/>
      </c>
      <c r="M71" s="3" t="str">
        <f ca="1">IFERROR(__xludf.DUMMYFUNCTION("""COMPUTED_VALUE"""),"")</f>
        <v/>
      </c>
      <c r="N71" s="12">
        <f ca="1">IF(M71="",, SUM(B71:M71))</f>
        <v>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outlineLevel="1" x14ac:dyDescent="0.2">
      <c r="A72" s="2" t="str">
        <f ca="1">IFERROR(__xludf.DUMMYFUNCTION("""COMPUTED_VALUE"""),"Alimentos")</f>
        <v>Alimentos</v>
      </c>
      <c r="B72" s="3">
        <f ca="1">IFERROR(__xludf.DUMMYFUNCTION("""COMPUTED_VALUE"""),254702.519143999)</f>
        <v>254702.519143999</v>
      </c>
      <c r="C72" s="3">
        <f ca="1">IFERROR(__xludf.DUMMYFUNCTION("""COMPUTED_VALUE"""),0)</f>
        <v>0</v>
      </c>
      <c r="D72" s="3">
        <f ca="1">IFERROR(__xludf.DUMMYFUNCTION("""COMPUTED_VALUE"""),0)</f>
        <v>0</v>
      </c>
      <c r="E72" s="3">
        <f ca="1">IFERROR(__xludf.DUMMYFUNCTION("""COMPUTED_VALUE"""),0)</f>
        <v>0</v>
      </c>
      <c r="F72" s="3">
        <f ca="1">IFERROR(__xludf.DUMMYFUNCTION("""COMPUTED_VALUE"""),0)</f>
        <v>0</v>
      </c>
      <c r="G72" s="3">
        <f ca="1">IFERROR(__xludf.DUMMYFUNCTION("""COMPUTED_VALUE"""),0)</f>
        <v>0</v>
      </c>
      <c r="H72" s="3">
        <f ca="1">IFERROR(__xludf.DUMMYFUNCTION("""COMPUTED_VALUE"""),0)</f>
        <v>0</v>
      </c>
      <c r="I72" s="3">
        <f ca="1">IFERROR(__xludf.DUMMYFUNCTION("""COMPUTED_VALUE"""),0)</f>
        <v>0</v>
      </c>
      <c r="J72" s="3">
        <f ca="1">IFERROR(__xludf.DUMMYFUNCTION("""COMPUTED_VALUE"""),0)</f>
        <v>0</v>
      </c>
      <c r="K72" s="3">
        <f ca="1">IFERROR(__xludf.DUMMYFUNCTION("""COMPUTED_VALUE"""),0)</f>
        <v>0</v>
      </c>
      <c r="L72" s="3">
        <f ca="1">IFERROR(__xludf.DUMMYFUNCTION("""COMPUTED_VALUE"""),0)</f>
        <v>0</v>
      </c>
      <c r="M72" s="3">
        <f ca="1">IFERROR(__xludf.DUMMYFUNCTION("""COMPUTED_VALUE"""),0)</f>
        <v>0</v>
      </c>
      <c r="N72" s="12">
        <f ca="1">IF(M72="",, SUM(B72:M72))</f>
        <v>254702.519143999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outlineLevel="1" x14ac:dyDescent="0.2">
      <c r="A73" s="2" t="str">
        <f ca="1">IFERROR(__xludf.DUMMYFUNCTION("""COMPUTED_VALUE"""),"Bebidas")</f>
        <v>Bebidas</v>
      </c>
      <c r="B73" s="3">
        <f ca="1">IFERROR(__xludf.DUMMYFUNCTION("""COMPUTED_VALUE"""),34731.2578959999)</f>
        <v>34731.257895999901</v>
      </c>
      <c r="C73" s="3">
        <f ca="1">IFERROR(__xludf.DUMMYFUNCTION("""COMPUTED_VALUE"""),0)</f>
        <v>0</v>
      </c>
      <c r="D73" s="3">
        <f ca="1">IFERROR(__xludf.DUMMYFUNCTION("""COMPUTED_VALUE"""),0)</f>
        <v>0</v>
      </c>
      <c r="E73" s="3">
        <f ca="1">IFERROR(__xludf.DUMMYFUNCTION("""COMPUTED_VALUE"""),0)</f>
        <v>0</v>
      </c>
      <c r="F73" s="3">
        <f ca="1">IFERROR(__xludf.DUMMYFUNCTION("""COMPUTED_VALUE"""),0)</f>
        <v>0</v>
      </c>
      <c r="G73" s="3">
        <f ca="1">IFERROR(__xludf.DUMMYFUNCTION("""COMPUTED_VALUE"""),0)</f>
        <v>0</v>
      </c>
      <c r="H73" s="3">
        <f ca="1">IFERROR(__xludf.DUMMYFUNCTION("""COMPUTED_VALUE"""),0)</f>
        <v>0</v>
      </c>
      <c r="I73" s="3">
        <f ca="1">IFERROR(__xludf.DUMMYFUNCTION("""COMPUTED_VALUE"""),0)</f>
        <v>0</v>
      </c>
      <c r="J73" s="3">
        <f ca="1">IFERROR(__xludf.DUMMYFUNCTION("""COMPUTED_VALUE"""),0)</f>
        <v>0</v>
      </c>
      <c r="K73" s="3">
        <f ca="1">IFERROR(__xludf.DUMMYFUNCTION("""COMPUTED_VALUE"""),0)</f>
        <v>0</v>
      </c>
      <c r="L73" s="3">
        <f ca="1">IFERROR(__xludf.DUMMYFUNCTION("""COMPUTED_VALUE"""),0)</f>
        <v>0</v>
      </c>
      <c r="M73" s="3">
        <f ca="1">IFERROR(__xludf.DUMMYFUNCTION("""COMPUTED_VALUE"""),0)</f>
        <v>0</v>
      </c>
      <c r="N73" s="12">
        <f ca="1">IF(M73="",, SUM(B73:M73))</f>
        <v>34731.257895999901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outlineLevel="1" x14ac:dyDescent="0.2">
      <c r="A74" s="2" t="str">
        <f ca="1">IFERROR(__xludf.DUMMYFUNCTION("""COMPUTED_VALUE"""),"Café Inf")</f>
        <v>Café Inf</v>
      </c>
      <c r="B74" s="3">
        <f ca="1">IFERROR(__xludf.DUMMYFUNCTION("""COMPUTED_VALUE"""),2476.20264)</f>
        <v>2476.20264</v>
      </c>
      <c r="C74" s="3">
        <f ca="1">IFERROR(__xludf.DUMMYFUNCTION("""COMPUTED_VALUE"""),0)</f>
        <v>0</v>
      </c>
      <c r="D74" s="3">
        <f ca="1">IFERROR(__xludf.DUMMYFUNCTION("""COMPUTED_VALUE"""),0)</f>
        <v>0</v>
      </c>
      <c r="E74" s="3">
        <f ca="1">IFERROR(__xludf.DUMMYFUNCTION("""COMPUTED_VALUE"""),0)</f>
        <v>0</v>
      </c>
      <c r="F74" s="3">
        <f ca="1">IFERROR(__xludf.DUMMYFUNCTION("""COMPUTED_VALUE"""),0)</f>
        <v>0</v>
      </c>
      <c r="G74" s="3">
        <f ca="1">IFERROR(__xludf.DUMMYFUNCTION("""COMPUTED_VALUE"""),0)</f>
        <v>0</v>
      </c>
      <c r="H74" s="3">
        <f ca="1">IFERROR(__xludf.DUMMYFUNCTION("""COMPUTED_VALUE"""),0)</f>
        <v>0</v>
      </c>
      <c r="I74" s="3">
        <f ca="1">IFERROR(__xludf.DUMMYFUNCTION("""COMPUTED_VALUE"""),0)</f>
        <v>0</v>
      </c>
      <c r="J74" s="3">
        <f ca="1">IFERROR(__xludf.DUMMYFUNCTION("""COMPUTED_VALUE"""),0)</f>
        <v>0</v>
      </c>
      <c r="K74" s="3">
        <f ca="1">IFERROR(__xludf.DUMMYFUNCTION("""COMPUTED_VALUE"""),0)</f>
        <v>0</v>
      </c>
      <c r="L74" s="3">
        <f ca="1">IFERROR(__xludf.DUMMYFUNCTION("""COMPUTED_VALUE"""),0)</f>
        <v>0</v>
      </c>
      <c r="M74" s="3">
        <f ca="1">IFERROR(__xludf.DUMMYFUNCTION("""COMPUTED_VALUE"""),0)</f>
        <v>0</v>
      </c>
      <c r="N74" s="12">
        <f ca="1">IF(M74="",, SUM(B74:M74))</f>
        <v>2476.20264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outlineLevel="1" x14ac:dyDescent="0.2">
      <c r="A75" s="2" t="str">
        <f ca="1">IFERROR(__xludf.DUMMYFUNCTION("""COMPUTED_VALUE"""),"Destilados")</f>
        <v>Destilados</v>
      </c>
      <c r="B75" s="3">
        <f ca="1">IFERROR(__xludf.DUMMYFUNCTION("""COMPUTED_VALUE"""),11802.930916)</f>
        <v>11802.930915999999</v>
      </c>
      <c r="C75" s="3">
        <f ca="1">IFERROR(__xludf.DUMMYFUNCTION("""COMPUTED_VALUE"""),0)</f>
        <v>0</v>
      </c>
      <c r="D75" s="3">
        <f ca="1">IFERROR(__xludf.DUMMYFUNCTION("""COMPUTED_VALUE"""),0)</f>
        <v>0</v>
      </c>
      <c r="E75" s="3">
        <f ca="1">IFERROR(__xludf.DUMMYFUNCTION("""COMPUTED_VALUE"""),0)</f>
        <v>0</v>
      </c>
      <c r="F75" s="3">
        <f ca="1">IFERROR(__xludf.DUMMYFUNCTION("""COMPUTED_VALUE"""),0)</f>
        <v>0</v>
      </c>
      <c r="G75" s="3">
        <f ca="1">IFERROR(__xludf.DUMMYFUNCTION("""COMPUTED_VALUE"""),0)</f>
        <v>0</v>
      </c>
      <c r="H75" s="3">
        <f ca="1">IFERROR(__xludf.DUMMYFUNCTION("""COMPUTED_VALUE"""),0)</f>
        <v>0</v>
      </c>
      <c r="I75" s="3">
        <f ca="1">IFERROR(__xludf.DUMMYFUNCTION("""COMPUTED_VALUE"""),0)</f>
        <v>0</v>
      </c>
      <c r="J75" s="3">
        <f ca="1">IFERROR(__xludf.DUMMYFUNCTION("""COMPUTED_VALUE"""),0)</f>
        <v>0</v>
      </c>
      <c r="K75" s="3">
        <f ca="1">IFERROR(__xludf.DUMMYFUNCTION("""COMPUTED_VALUE"""),0)</f>
        <v>0</v>
      </c>
      <c r="L75" s="3">
        <f ca="1">IFERROR(__xludf.DUMMYFUNCTION("""COMPUTED_VALUE"""),0)</f>
        <v>0</v>
      </c>
      <c r="M75" s="3">
        <f ca="1">IFERROR(__xludf.DUMMYFUNCTION("""COMPUTED_VALUE"""),0)</f>
        <v>0</v>
      </c>
      <c r="N75" s="12">
        <f ca="1">IF(M75="",, SUM(B75:M75))</f>
        <v>11802.930915999999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outlineLevel="1" x14ac:dyDescent="0.2">
      <c r="A76" s="2" t="str">
        <f ca="1">IFERROR(__xludf.DUMMYFUNCTION("""COMPUTED_VALUE"""),"Vinos")</f>
        <v>Vinos</v>
      </c>
      <c r="B76" s="3">
        <f ca="1">IFERROR(__xludf.DUMMYFUNCTION("""COMPUTED_VALUE"""),5844.218968)</f>
        <v>5844.2189680000001</v>
      </c>
      <c r="C76" s="3">
        <f ca="1">IFERROR(__xludf.DUMMYFUNCTION("""COMPUTED_VALUE"""),0)</f>
        <v>0</v>
      </c>
      <c r="D76" s="3">
        <f ca="1">IFERROR(__xludf.DUMMYFUNCTION("""COMPUTED_VALUE"""),0)</f>
        <v>0</v>
      </c>
      <c r="E76" s="3">
        <f ca="1">IFERROR(__xludf.DUMMYFUNCTION("""COMPUTED_VALUE"""),0)</f>
        <v>0</v>
      </c>
      <c r="F76" s="3">
        <f ca="1">IFERROR(__xludf.DUMMYFUNCTION("""COMPUTED_VALUE"""),0)</f>
        <v>0</v>
      </c>
      <c r="G76" s="3">
        <f ca="1">IFERROR(__xludf.DUMMYFUNCTION("""COMPUTED_VALUE"""),0)</f>
        <v>0</v>
      </c>
      <c r="H76" s="3">
        <f ca="1">IFERROR(__xludf.DUMMYFUNCTION("""COMPUTED_VALUE"""),0)</f>
        <v>0</v>
      </c>
      <c r="I76" s="3">
        <f ca="1">IFERROR(__xludf.DUMMYFUNCTION("""COMPUTED_VALUE"""),0)</f>
        <v>0</v>
      </c>
      <c r="J76" s="3">
        <f ca="1">IFERROR(__xludf.DUMMYFUNCTION("""COMPUTED_VALUE"""),0)</f>
        <v>0</v>
      </c>
      <c r="K76" s="3">
        <f ca="1">IFERROR(__xludf.DUMMYFUNCTION("""COMPUTED_VALUE"""),0)</f>
        <v>0</v>
      </c>
      <c r="L76" s="3">
        <f ca="1">IFERROR(__xludf.DUMMYFUNCTION("""COMPUTED_VALUE"""),0)</f>
        <v>0</v>
      </c>
      <c r="M76" s="3">
        <f ca="1">IFERROR(__xludf.DUMMYFUNCTION("""COMPUTED_VALUE"""),0)</f>
        <v>0</v>
      </c>
      <c r="N76" s="12">
        <f ca="1">IF(M76="",, SUM(B76:M76))</f>
        <v>5844.2189680000001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outlineLevel="1" x14ac:dyDescent="0.2">
      <c r="A77" s="2" t="str">
        <f ca="1">IFERROR(__xludf.DUMMYFUNCTION("""COMPUTED_VALUE"""),"")</f>
        <v/>
      </c>
      <c r="B77" s="3" t="str">
        <f ca="1">IFERROR(__xludf.DUMMYFUNCTION("""COMPUTED_VALUE"""),"")</f>
        <v/>
      </c>
      <c r="C77" s="3" t="str">
        <f ca="1">IFERROR(__xludf.DUMMYFUNCTION("""COMPUTED_VALUE"""),"")</f>
        <v/>
      </c>
      <c r="D77" s="3" t="str">
        <f ca="1">IFERROR(__xludf.DUMMYFUNCTION("""COMPUTED_VALUE"""),"")</f>
        <v/>
      </c>
      <c r="E77" s="3" t="str">
        <f ca="1">IFERROR(__xludf.DUMMYFUNCTION("""COMPUTED_VALUE"""),"")</f>
        <v/>
      </c>
      <c r="F77" s="3" t="str">
        <f ca="1">IFERROR(__xludf.DUMMYFUNCTION("""COMPUTED_VALUE"""),"")</f>
        <v/>
      </c>
      <c r="G77" s="3" t="str">
        <f ca="1">IFERROR(__xludf.DUMMYFUNCTION("""COMPUTED_VALUE"""),"")</f>
        <v/>
      </c>
      <c r="H77" s="3" t="str">
        <f ca="1">IFERROR(__xludf.DUMMYFUNCTION("""COMPUTED_VALUE"""),"")</f>
        <v/>
      </c>
      <c r="I77" s="3" t="str">
        <f ca="1">IFERROR(__xludf.DUMMYFUNCTION("""COMPUTED_VALUE"""),"")</f>
        <v/>
      </c>
      <c r="J77" s="3" t="str">
        <f ca="1">IFERROR(__xludf.DUMMYFUNCTION("""COMPUTED_VALUE"""),"")</f>
        <v/>
      </c>
      <c r="K77" s="3" t="str">
        <f ca="1">IFERROR(__xludf.DUMMYFUNCTION("""COMPUTED_VALUE"""),"")</f>
        <v/>
      </c>
      <c r="L77" s="3" t="str">
        <f ca="1">IFERROR(__xludf.DUMMYFUNCTION("""COMPUTED_VALUE"""),"")</f>
        <v/>
      </c>
      <c r="M77" s="3" t="str">
        <f ca="1">IFERROR(__xludf.DUMMYFUNCTION("""COMPUTED_VALUE"""),"")</f>
        <v/>
      </c>
      <c r="N77" s="12">
        <f ca="1">IF(M77="",, SUM(B77:M77))</f>
        <v>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outlineLevel="1" x14ac:dyDescent="0.2">
      <c r="A78" s="2" t="str">
        <f ca="1">IFERROR(__xludf.DUMMYFUNCTION("""COMPUTED_VALUE"""),"D")</f>
        <v>D</v>
      </c>
      <c r="B78" s="3">
        <f ca="1">IFERROR(__xludf.DUMMYFUNCTION("""COMPUTED_VALUE"""),131095.619879499)</f>
        <v>131095.61987949899</v>
      </c>
      <c r="C78" s="3">
        <f ca="1">IFERROR(__xludf.DUMMYFUNCTION("""COMPUTED_VALUE"""),0)</f>
        <v>0</v>
      </c>
      <c r="D78" s="3">
        <f ca="1">IFERROR(__xludf.DUMMYFUNCTION("""COMPUTED_VALUE"""),0)</f>
        <v>0</v>
      </c>
      <c r="E78" s="3">
        <f ca="1">IFERROR(__xludf.DUMMYFUNCTION("""COMPUTED_VALUE"""),0)</f>
        <v>0</v>
      </c>
      <c r="F78" s="3">
        <f ca="1">IFERROR(__xludf.DUMMYFUNCTION("""COMPUTED_VALUE"""),0)</f>
        <v>0</v>
      </c>
      <c r="G78" s="3">
        <f ca="1">IFERROR(__xludf.DUMMYFUNCTION("""COMPUTED_VALUE"""),0)</f>
        <v>0</v>
      </c>
      <c r="H78" s="3">
        <f ca="1">IFERROR(__xludf.DUMMYFUNCTION("""COMPUTED_VALUE"""),0)</f>
        <v>0</v>
      </c>
      <c r="I78" s="3">
        <f ca="1">IFERROR(__xludf.DUMMYFUNCTION("""COMPUTED_VALUE"""),0)</f>
        <v>0</v>
      </c>
      <c r="J78" s="3">
        <f ca="1">IFERROR(__xludf.DUMMYFUNCTION("""COMPUTED_VALUE"""),0)</f>
        <v>0</v>
      </c>
      <c r="K78" s="3">
        <f ca="1">IFERROR(__xludf.DUMMYFUNCTION("""COMPUTED_VALUE"""),0)</f>
        <v>0</v>
      </c>
      <c r="L78" s="3">
        <f ca="1">IFERROR(__xludf.DUMMYFUNCTION("""COMPUTED_VALUE"""),0)</f>
        <v>0</v>
      </c>
      <c r="M78" s="3">
        <f ca="1">IFERROR(__xludf.DUMMYFUNCTION("""COMPUTED_VALUE"""),0)</f>
        <v>0</v>
      </c>
      <c r="N78" s="12">
        <f ca="1">IF(M78="",, SUM(B78:M78))</f>
        <v>131095.61987949899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outlineLevel="1" x14ac:dyDescent="0.2">
      <c r="A79" s="2" t="str">
        <f ca="1">IFERROR(__xludf.DUMMYFUNCTION("""COMPUTED_VALUE"""),"")</f>
        <v/>
      </c>
      <c r="B79" s="3" t="str">
        <f ca="1">IFERROR(__xludf.DUMMYFUNCTION("""COMPUTED_VALUE"""),"")</f>
        <v/>
      </c>
      <c r="C79" s="3" t="str">
        <f ca="1">IFERROR(__xludf.DUMMYFUNCTION("""COMPUTED_VALUE"""),"")</f>
        <v/>
      </c>
      <c r="D79" s="3" t="str">
        <f ca="1">IFERROR(__xludf.DUMMYFUNCTION("""COMPUTED_VALUE"""),"")</f>
        <v/>
      </c>
      <c r="E79" s="3" t="str">
        <f ca="1">IFERROR(__xludf.DUMMYFUNCTION("""COMPUTED_VALUE"""),"")</f>
        <v/>
      </c>
      <c r="F79" s="3" t="str">
        <f ca="1">IFERROR(__xludf.DUMMYFUNCTION("""COMPUTED_VALUE"""),"")</f>
        <v/>
      </c>
      <c r="G79" s="3" t="str">
        <f ca="1">IFERROR(__xludf.DUMMYFUNCTION("""COMPUTED_VALUE"""),"")</f>
        <v/>
      </c>
      <c r="H79" s="3" t="str">
        <f ca="1">IFERROR(__xludf.DUMMYFUNCTION("""COMPUTED_VALUE"""),"")</f>
        <v/>
      </c>
      <c r="I79" s="3" t="str">
        <f ca="1">IFERROR(__xludf.DUMMYFUNCTION("""COMPUTED_VALUE"""),"")</f>
        <v/>
      </c>
      <c r="J79" s="3" t="str">
        <f ca="1">IFERROR(__xludf.DUMMYFUNCTION("""COMPUTED_VALUE"""),"")</f>
        <v/>
      </c>
      <c r="K79" s="3" t="str">
        <f ca="1">IFERROR(__xludf.DUMMYFUNCTION("""COMPUTED_VALUE"""),"")</f>
        <v/>
      </c>
      <c r="L79" s="3" t="str">
        <f ca="1">IFERROR(__xludf.DUMMYFUNCTION("""COMPUTED_VALUE"""),"")</f>
        <v/>
      </c>
      <c r="M79" s="3" t="str">
        <f ca="1">IFERROR(__xludf.DUMMYFUNCTION("""COMPUTED_VALUE"""),"")</f>
        <v/>
      </c>
      <c r="N79" s="12">
        <f ca="1">IF(M79="",, SUM(B79:M79))</f>
        <v>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outlineLevel="1" x14ac:dyDescent="0.2">
      <c r="A80" s="2" t="str">
        <f ca="1">IFERROR(__xludf.DUMMYFUNCTION("""COMPUTED_VALUE"""),"Alimentos")</f>
        <v>Alimentos</v>
      </c>
      <c r="B80" s="3">
        <f ca="1">IFERROR(__xludf.DUMMYFUNCTION("""COMPUTED_VALUE"""),107989.943251499)</f>
        <v>107989.943251499</v>
      </c>
      <c r="C80" s="3">
        <f ca="1">IFERROR(__xludf.DUMMYFUNCTION("""COMPUTED_VALUE"""),0)</f>
        <v>0</v>
      </c>
      <c r="D80" s="3">
        <f ca="1">IFERROR(__xludf.DUMMYFUNCTION("""COMPUTED_VALUE"""),0)</f>
        <v>0</v>
      </c>
      <c r="E80" s="3">
        <f ca="1">IFERROR(__xludf.DUMMYFUNCTION("""COMPUTED_VALUE"""),0)</f>
        <v>0</v>
      </c>
      <c r="F80" s="3">
        <f ca="1">IFERROR(__xludf.DUMMYFUNCTION("""COMPUTED_VALUE"""),0)</f>
        <v>0</v>
      </c>
      <c r="G80" s="3">
        <f ca="1">IFERROR(__xludf.DUMMYFUNCTION("""COMPUTED_VALUE"""),0)</f>
        <v>0</v>
      </c>
      <c r="H80" s="3">
        <f ca="1">IFERROR(__xludf.DUMMYFUNCTION("""COMPUTED_VALUE"""),0)</f>
        <v>0</v>
      </c>
      <c r="I80" s="3">
        <f ca="1">IFERROR(__xludf.DUMMYFUNCTION("""COMPUTED_VALUE"""),0)</f>
        <v>0</v>
      </c>
      <c r="J80" s="3">
        <f ca="1">IFERROR(__xludf.DUMMYFUNCTION("""COMPUTED_VALUE"""),0)</f>
        <v>0</v>
      </c>
      <c r="K80" s="3">
        <f ca="1">IFERROR(__xludf.DUMMYFUNCTION("""COMPUTED_VALUE"""),0)</f>
        <v>0</v>
      </c>
      <c r="L80" s="3">
        <f ca="1">IFERROR(__xludf.DUMMYFUNCTION("""COMPUTED_VALUE"""),0)</f>
        <v>0</v>
      </c>
      <c r="M80" s="3">
        <f ca="1">IFERROR(__xludf.DUMMYFUNCTION("""COMPUTED_VALUE"""),0)</f>
        <v>0</v>
      </c>
      <c r="N80" s="12">
        <f ca="1">IF(M80="",, SUM(B80:M80))</f>
        <v>107989.943251499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outlineLevel="1" x14ac:dyDescent="0.2">
      <c r="A81" s="2" t="str">
        <f ca="1">IFERROR(__xludf.DUMMYFUNCTION("""COMPUTED_VALUE"""),"Bebidas")</f>
        <v>Bebidas</v>
      </c>
      <c r="B81" s="3">
        <f ca="1">IFERROR(__xludf.DUMMYFUNCTION("""COMPUTED_VALUE"""),14090.509043)</f>
        <v>14090.509043</v>
      </c>
      <c r="C81" s="3">
        <f ca="1">IFERROR(__xludf.DUMMYFUNCTION("""COMPUTED_VALUE"""),0)</f>
        <v>0</v>
      </c>
      <c r="D81" s="3">
        <f ca="1">IFERROR(__xludf.DUMMYFUNCTION("""COMPUTED_VALUE"""),0)</f>
        <v>0</v>
      </c>
      <c r="E81" s="3">
        <f ca="1">IFERROR(__xludf.DUMMYFUNCTION("""COMPUTED_VALUE"""),0)</f>
        <v>0</v>
      </c>
      <c r="F81" s="3">
        <f ca="1">IFERROR(__xludf.DUMMYFUNCTION("""COMPUTED_VALUE"""),0)</f>
        <v>0</v>
      </c>
      <c r="G81" s="3">
        <f ca="1">IFERROR(__xludf.DUMMYFUNCTION("""COMPUTED_VALUE"""),0)</f>
        <v>0</v>
      </c>
      <c r="H81" s="3">
        <f ca="1">IFERROR(__xludf.DUMMYFUNCTION("""COMPUTED_VALUE"""),0)</f>
        <v>0</v>
      </c>
      <c r="I81" s="3">
        <f ca="1">IFERROR(__xludf.DUMMYFUNCTION("""COMPUTED_VALUE"""),0)</f>
        <v>0</v>
      </c>
      <c r="J81" s="3">
        <f ca="1">IFERROR(__xludf.DUMMYFUNCTION("""COMPUTED_VALUE"""),0)</f>
        <v>0</v>
      </c>
      <c r="K81" s="3">
        <f ca="1">IFERROR(__xludf.DUMMYFUNCTION("""COMPUTED_VALUE"""),0)</f>
        <v>0</v>
      </c>
      <c r="L81" s="3">
        <f ca="1">IFERROR(__xludf.DUMMYFUNCTION("""COMPUTED_VALUE"""),0)</f>
        <v>0</v>
      </c>
      <c r="M81" s="3">
        <f ca="1">IFERROR(__xludf.DUMMYFUNCTION("""COMPUTED_VALUE"""),0)</f>
        <v>0</v>
      </c>
      <c r="N81" s="12">
        <f ca="1">IF(M81="",, SUM(B81:M81))</f>
        <v>14090.509043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outlineLevel="1" x14ac:dyDescent="0.2">
      <c r="A82" s="2" t="str">
        <f ca="1">IFERROR(__xludf.DUMMYFUNCTION("""COMPUTED_VALUE"""),"Café Inf")</f>
        <v>Café Inf</v>
      </c>
      <c r="B82" s="3">
        <f ca="1">IFERROR(__xludf.DUMMYFUNCTION("""COMPUTED_VALUE"""),0)</f>
        <v>0</v>
      </c>
      <c r="C82" s="3">
        <f ca="1">IFERROR(__xludf.DUMMYFUNCTION("""COMPUTED_VALUE"""),0)</f>
        <v>0</v>
      </c>
      <c r="D82" s="3">
        <f ca="1">IFERROR(__xludf.DUMMYFUNCTION("""COMPUTED_VALUE"""),0)</f>
        <v>0</v>
      </c>
      <c r="E82" s="3">
        <f ca="1">IFERROR(__xludf.DUMMYFUNCTION("""COMPUTED_VALUE"""),0)</f>
        <v>0</v>
      </c>
      <c r="F82" s="3">
        <f ca="1">IFERROR(__xludf.DUMMYFUNCTION("""COMPUTED_VALUE"""),0)</f>
        <v>0</v>
      </c>
      <c r="G82" s="3">
        <f ca="1">IFERROR(__xludf.DUMMYFUNCTION("""COMPUTED_VALUE"""),0)</f>
        <v>0</v>
      </c>
      <c r="H82" s="3">
        <f ca="1">IFERROR(__xludf.DUMMYFUNCTION("""COMPUTED_VALUE"""),0)</f>
        <v>0</v>
      </c>
      <c r="I82" s="3">
        <f ca="1">IFERROR(__xludf.DUMMYFUNCTION("""COMPUTED_VALUE"""),0)</f>
        <v>0</v>
      </c>
      <c r="J82" s="3">
        <f ca="1">IFERROR(__xludf.DUMMYFUNCTION("""COMPUTED_VALUE"""),0)</f>
        <v>0</v>
      </c>
      <c r="K82" s="3">
        <f ca="1">IFERROR(__xludf.DUMMYFUNCTION("""COMPUTED_VALUE"""),0)</f>
        <v>0</v>
      </c>
      <c r="L82" s="3">
        <f ca="1">IFERROR(__xludf.DUMMYFUNCTION("""COMPUTED_VALUE"""),0)</f>
        <v>0</v>
      </c>
      <c r="M82" s="3">
        <f ca="1">IFERROR(__xludf.DUMMYFUNCTION("""COMPUTED_VALUE"""),0)</f>
        <v>0</v>
      </c>
      <c r="N82" s="12">
        <f ca="1">IF(M82="",, SUM(B82:M82))</f>
        <v>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outlineLevel="1" x14ac:dyDescent="0.2">
      <c r="A83" s="2" t="str">
        <f ca="1">IFERROR(__xludf.DUMMYFUNCTION("""COMPUTED_VALUE"""),"Destilados")</f>
        <v>Destilados</v>
      </c>
      <c r="B83" s="3">
        <f ca="1">IFERROR(__xludf.DUMMYFUNCTION("""COMPUTED_VALUE"""),5604.54)</f>
        <v>5604.54</v>
      </c>
      <c r="C83" s="3">
        <f ca="1">IFERROR(__xludf.DUMMYFUNCTION("""COMPUTED_VALUE"""),0)</f>
        <v>0</v>
      </c>
      <c r="D83" s="3">
        <f ca="1">IFERROR(__xludf.DUMMYFUNCTION("""COMPUTED_VALUE"""),0)</f>
        <v>0</v>
      </c>
      <c r="E83" s="3">
        <f ca="1">IFERROR(__xludf.DUMMYFUNCTION("""COMPUTED_VALUE"""),0)</f>
        <v>0</v>
      </c>
      <c r="F83" s="3">
        <f ca="1">IFERROR(__xludf.DUMMYFUNCTION("""COMPUTED_VALUE"""),0)</f>
        <v>0</v>
      </c>
      <c r="G83" s="3">
        <f ca="1">IFERROR(__xludf.DUMMYFUNCTION("""COMPUTED_VALUE"""),0)</f>
        <v>0</v>
      </c>
      <c r="H83" s="3">
        <f ca="1">IFERROR(__xludf.DUMMYFUNCTION("""COMPUTED_VALUE"""),0)</f>
        <v>0</v>
      </c>
      <c r="I83" s="3">
        <f ca="1">IFERROR(__xludf.DUMMYFUNCTION("""COMPUTED_VALUE"""),0)</f>
        <v>0</v>
      </c>
      <c r="J83" s="3">
        <f ca="1">IFERROR(__xludf.DUMMYFUNCTION("""COMPUTED_VALUE"""),0)</f>
        <v>0</v>
      </c>
      <c r="K83" s="3">
        <f ca="1">IFERROR(__xludf.DUMMYFUNCTION("""COMPUTED_VALUE"""),0)</f>
        <v>0</v>
      </c>
      <c r="L83" s="3">
        <f ca="1">IFERROR(__xludf.DUMMYFUNCTION("""COMPUTED_VALUE"""),0)</f>
        <v>0</v>
      </c>
      <c r="M83" s="3">
        <f ca="1">IFERROR(__xludf.DUMMYFUNCTION("""COMPUTED_VALUE"""),0)</f>
        <v>0</v>
      </c>
      <c r="N83" s="12">
        <f ca="1">IF(M83="",, SUM(B83:M83))</f>
        <v>5604.54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outlineLevel="1" x14ac:dyDescent="0.2">
      <c r="A84" s="2" t="str">
        <f ca="1">IFERROR(__xludf.DUMMYFUNCTION("""COMPUTED_VALUE"""),"Vinos")</f>
        <v>Vinos</v>
      </c>
      <c r="B84" s="3">
        <f ca="1">IFERROR(__xludf.DUMMYFUNCTION("""COMPUTED_VALUE"""),3410.62758499999)</f>
        <v>3410.6275849999902</v>
      </c>
      <c r="C84" s="3">
        <f ca="1">IFERROR(__xludf.DUMMYFUNCTION("""COMPUTED_VALUE"""),0)</f>
        <v>0</v>
      </c>
      <c r="D84" s="3">
        <f ca="1">IFERROR(__xludf.DUMMYFUNCTION("""COMPUTED_VALUE"""),0)</f>
        <v>0</v>
      </c>
      <c r="E84" s="3">
        <f ca="1">IFERROR(__xludf.DUMMYFUNCTION("""COMPUTED_VALUE"""),0)</f>
        <v>0</v>
      </c>
      <c r="F84" s="3">
        <f ca="1">IFERROR(__xludf.DUMMYFUNCTION("""COMPUTED_VALUE"""),0)</f>
        <v>0</v>
      </c>
      <c r="G84" s="3">
        <f ca="1">IFERROR(__xludf.DUMMYFUNCTION("""COMPUTED_VALUE"""),0)</f>
        <v>0</v>
      </c>
      <c r="H84" s="3">
        <f ca="1">IFERROR(__xludf.DUMMYFUNCTION("""COMPUTED_VALUE"""),0)</f>
        <v>0</v>
      </c>
      <c r="I84" s="3">
        <f ca="1">IFERROR(__xludf.DUMMYFUNCTION("""COMPUTED_VALUE"""),0)</f>
        <v>0</v>
      </c>
      <c r="J84" s="3">
        <f ca="1">IFERROR(__xludf.DUMMYFUNCTION("""COMPUTED_VALUE"""),0)</f>
        <v>0</v>
      </c>
      <c r="K84" s="3">
        <f ca="1">IFERROR(__xludf.DUMMYFUNCTION("""COMPUTED_VALUE"""),0)</f>
        <v>0</v>
      </c>
      <c r="L84" s="3">
        <f ca="1">IFERROR(__xludf.DUMMYFUNCTION("""COMPUTED_VALUE"""),0)</f>
        <v>0</v>
      </c>
      <c r="M84" s="3">
        <f ca="1">IFERROR(__xludf.DUMMYFUNCTION("""COMPUTED_VALUE"""),0)</f>
        <v>0</v>
      </c>
      <c r="N84" s="12">
        <f ca="1">IF(M84="",, SUM(B84:M84))</f>
        <v>3410.6275849999902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outlineLevel="1" x14ac:dyDescent="0.2">
      <c r="A85" s="2" t="str">
        <f ca="1">IFERROR(__xludf.DUMMYFUNCTION("""COMPUTED_VALUE"""),"")</f>
        <v/>
      </c>
      <c r="B85" s="3" t="str">
        <f ca="1">IFERROR(__xludf.DUMMYFUNCTION("""COMPUTED_VALUE"""),"")</f>
        <v/>
      </c>
      <c r="C85" s="3" t="str">
        <f ca="1">IFERROR(__xludf.DUMMYFUNCTION("""COMPUTED_VALUE"""),"")</f>
        <v/>
      </c>
      <c r="D85" s="3" t="str">
        <f ca="1">IFERROR(__xludf.DUMMYFUNCTION("""COMPUTED_VALUE"""),"")</f>
        <v/>
      </c>
      <c r="E85" s="3" t="str">
        <f ca="1">IFERROR(__xludf.DUMMYFUNCTION("""COMPUTED_VALUE"""),"")</f>
        <v/>
      </c>
      <c r="F85" s="3" t="str">
        <f ca="1">IFERROR(__xludf.DUMMYFUNCTION("""COMPUTED_VALUE"""),"")</f>
        <v/>
      </c>
      <c r="G85" s="3" t="str">
        <f ca="1">IFERROR(__xludf.DUMMYFUNCTION("""COMPUTED_VALUE"""),"")</f>
        <v/>
      </c>
      <c r="H85" s="3" t="str">
        <f ca="1">IFERROR(__xludf.DUMMYFUNCTION("""COMPUTED_VALUE"""),"")</f>
        <v/>
      </c>
      <c r="I85" s="3" t="str">
        <f ca="1">IFERROR(__xludf.DUMMYFUNCTION("""COMPUTED_VALUE"""),"")</f>
        <v/>
      </c>
      <c r="J85" s="3" t="str">
        <f ca="1">IFERROR(__xludf.DUMMYFUNCTION("""COMPUTED_VALUE"""),"")</f>
        <v/>
      </c>
      <c r="K85" s="3" t="str">
        <f ca="1">IFERROR(__xludf.DUMMYFUNCTION("""COMPUTED_VALUE"""),"")</f>
        <v/>
      </c>
      <c r="L85" s="3" t="str">
        <f ca="1">IFERROR(__xludf.DUMMYFUNCTION("""COMPUTED_VALUE"""),"")</f>
        <v/>
      </c>
      <c r="M85" s="3" t="str">
        <f ca="1">IFERROR(__xludf.DUMMYFUNCTION("""COMPUTED_VALUE"""),"")</f>
        <v/>
      </c>
      <c r="N85" s="12">
        <f ca="1">IF(M85="",, SUM(B85:M85))</f>
        <v>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outlineLevel="1" x14ac:dyDescent="0.2">
      <c r="A86" s="2" t="str">
        <f ca="1">IFERROR(__xludf.DUMMYFUNCTION("""COMPUTED_VALUE"""),"E")</f>
        <v>E</v>
      </c>
      <c r="B86" s="3">
        <f ca="1">IFERROR(__xludf.DUMMYFUNCTION("""COMPUTED_VALUE"""),549042.822999)</f>
        <v>549042.82299899997</v>
      </c>
      <c r="C86" s="3">
        <f ca="1">IFERROR(__xludf.DUMMYFUNCTION("""COMPUTED_VALUE"""),0)</f>
        <v>0</v>
      </c>
      <c r="D86" s="3">
        <f ca="1">IFERROR(__xludf.DUMMYFUNCTION("""COMPUTED_VALUE"""),0)</f>
        <v>0</v>
      </c>
      <c r="E86" s="3">
        <f ca="1">IFERROR(__xludf.DUMMYFUNCTION("""COMPUTED_VALUE"""),0)</f>
        <v>0</v>
      </c>
      <c r="F86" s="3">
        <f ca="1">IFERROR(__xludf.DUMMYFUNCTION("""COMPUTED_VALUE"""),0)</f>
        <v>0</v>
      </c>
      <c r="G86" s="3">
        <f ca="1">IFERROR(__xludf.DUMMYFUNCTION("""COMPUTED_VALUE"""),0)</f>
        <v>0</v>
      </c>
      <c r="H86" s="3">
        <f ca="1">IFERROR(__xludf.DUMMYFUNCTION("""COMPUTED_VALUE"""),0)</f>
        <v>0</v>
      </c>
      <c r="I86" s="3">
        <f ca="1">IFERROR(__xludf.DUMMYFUNCTION("""COMPUTED_VALUE"""),0)</f>
        <v>0</v>
      </c>
      <c r="J86" s="3">
        <f ca="1">IFERROR(__xludf.DUMMYFUNCTION("""COMPUTED_VALUE"""),0)</f>
        <v>0</v>
      </c>
      <c r="K86" s="3">
        <f ca="1">IFERROR(__xludf.DUMMYFUNCTION("""COMPUTED_VALUE"""),0)</f>
        <v>0</v>
      </c>
      <c r="L86" s="3">
        <f ca="1">IFERROR(__xludf.DUMMYFUNCTION("""COMPUTED_VALUE"""),0)</f>
        <v>0</v>
      </c>
      <c r="M86" s="3">
        <f ca="1">IFERROR(__xludf.DUMMYFUNCTION("""COMPUTED_VALUE"""),0)</f>
        <v>0</v>
      </c>
      <c r="N86" s="12">
        <f ca="1">IF(M86="",, SUM(B86:M86))</f>
        <v>549042.82299899997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outlineLevel="1" x14ac:dyDescent="0.2">
      <c r="A87" s="2" t="str">
        <f ca="1">IFERROR(__xludf.DUMMYFUNCTION("""COMPUTED_VALUE"""),"")</f>
        <v/>
      </c>
      <c r="B87" s="3" t="str">
        <f ca="1">IFERROR(__xludf.DUMMYFUNCTION("""COMPUTED_VALUE"""),"")</f>
        <v/>
      </c>
      <c r="C87" s="3" t="str">
        <f ca="1">IFERROR(__xludf.DUMMYFUNCTION("""COMPUTED_VALUE"""),"")</f>
        <v/>
      </c>
      <c r="D87" s="3" t="str">
        <f ca="1">IFERROR(__xludf.DUMMYFUNCTION("""COMPUTED_VALUE"""),"")</f>
        <v/>
      </c>
      <c r="E87" s="3" t="str">
        <f ca="1">IFERROR(__xludf.DUMMYFUNCTION("""COMPUTED_VALUE"""),"")</f>
        <v/>
      </c>
      <c r="F87" s="3" t="str">
        <f ca="1">IFERROR(__xludf.DUMMYFUNCTION("""COMPUTED_VALUE"""),"")</f>
        <v/>
      </c>
      <c r="G87" s="3" t="str">
        <f ca="1">IFERROR(__xludf.DUMMYFUNCTION("""COMPUTED_VALUE"""),"")</f>
        <v/>
      </c>
      <c r="H87" s="3" t="str">
        <f ca="1">IFERROR(__xludf.DUMMYFUNCTION("""COMPUTED_VALUE"""),"")</f>
        <v/>
      </c>
      <c r="I87" s="3" t="str">
        <f ca="1">IFERROR(__xludf.DUMMYFUNCTION("""COMPUTED_VALUE"""),"")</f>
        <v/>
      </c>
      <c r="J87" s="3" t="str">
        <f ca="1">IFERROR(__xludf.DUMMYFUNCTION("""COMPUTED_VALUE"""),"")</f>
        <v/>
      </c>
      <c r="K87" s="3" t="str">
        <f ca="1">IFERROR(__xludf.DUMMYFUNCTION("""COMPUTED_VALUE"""),"")</f>
        <v/>
      </c>
      <c r="L87" s="3" t="str">
        <f ca="1">IFERROR(__xludf.DUMMYFUNCTION("""COMPUTED_VALUE"""),"")</f>
        <v/>
      </c>
      <c r="M87" s="3" t="str">
        <f ca="1">IFERROR(__xludf.DUMMYFUNCTION("""COMPUTED_VALUE"""),"")</f>
        <v/>
      </c>
      <c r="N87" s="12">
        <f ca="1">IF(M87="",, SUM(B87:M87))</f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outlineLevel="1" x14ac:dyDescent="0.2">
      <c r="A88" s="2" t="str">
        <f ca="1">IFERROR(__xludf.DUMMYFUNCTION("""COMPUTED_VALUE"""),"Alimentos")</f>
        <v>Alimentos</v>
      </c>
      <c r="B88" s="3">
        <f ca="1">IFERROR(__xludf.DUMMYFUNCTION("""COMPUTED_VALUE"""),451770.861499)</f>
        <v>451770.86149899999</v>
      </c>
      <c r="C88" s="3">
        <f ca="1">IFERROR(__xludf.DUMMYFUNCTION("""COMPUTED_VALUE"""),0)</f>
        <v>0</v>
      </c>
      <c r="D88" s="3">
        <f ca="1">IFERROR(__xludf.DUMMYFUNCTION("""COMPUTED_VALUE"""),0)</f>
        <v>0</v>
      </c>
      <c r="E88" s="3">
        <f ca="1">IFERROR(__xludf.DUMMYFUNCTION("""COMPUTED_VALUE"""),0)</f>
        <v>0</v>
      </c>
      <c r="F88" s="3">
        <f ca="1">IFERROR(__xludf.DUMMYFUNCTION("""COMPUTED_VALUE"""),0)</f>
        <v>0</v>
      </c>
      <c r="G88" s="3">
        <f ca="1">IFERROR(__xludf.DUMMYFUNCTION("""COMPUTED_VALUE"""),0)</f>
        <v>0</v>
      </c>
      <c r="H88" s="3">
        <f ca="1">IFERROR(__xludf.DUMMYFUNCTION("""COMPUTED_VALUE"""),0)</f>
        <v>0</v>
      </c>
      <c r="I88" s="3">
        <f ca="1">IFERROR(__xludf.DUMMYFUNCTION("""COMPUTED_VALUE"""),0)</f>
        <v>0</v>
      </c>
      <c r="J88" s="3">
        <f ca="1">IFERROR(__xludf.DUMMYFUNCTION("""COMPUTED_VALUE"""),0)</f>
        <v>0</v>
      </c>
      <c r="K88" s="3">
        <f ca="1">IFERROR(__xludf.DUMMYFUNCTION("""COMPUTED_VALUE"""),0)</f>
        <v>0</v>
      </c>
      <c r="L88" s="3">
        <f ca="1">IFERROR(__xludf.DUMMYFUNCTION("""COMPUTED_VALUE"""),0)</f>
        <v>0</v>
      </c>
      <c r="M88" s="3">
        <f ca="1">IFERROR(__xludf.DUMMYFUNCTION("""COMPUTED_VALUE"""),0)</f>
        <v>0</v>
      </c>
      <c r="N88" s="12">
        <f ca="1">IF(M88="",, SUM(B88:M88))</f>
        <v>451770.86149899999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outlineLevel="1" x14ac:dyDescent="0.2">
      <c r="A89" s="2" t="str">
        <f ca="1">IFERROR(__xludf.DUMMYFUNCTION("""COMPUTED_VALUE"""),"Bebidas")</f>
        <v>Bebidas</v>
      </c>
      <c r="B89" s="3">
        <f ca="1">IFERROR(__xludf.DUMMYFUNCTION("""COMPUTED_VALUE"""),61234.8013385)</f>
        <v>61234.801338500001</v>
      </c>
      <c r="C89" s="3">
        <f ca="1">IFERROR(__xludf.DUMMYFUNCTION("""COMPUTED_VALUE"""),0)</f>
        <v>0</v>
      </c>
      <c r="D89" s="3">
        <f ca="1">IFERROR(__xludf.DUMMYFUNCTION("""COMPUTED_VALUE"""),0)</f>
        <v>0</v>
      </c>
      <c r="E89" s="3">
        <f ca="1">IFERROR(__xludf.DUMMYFUNCTION("""COMPUTED_VALUE"""),0)</f>
        <v>0</v>
      </c>
      <c r="F89" s="3">
        <f ca="1">IFERROR(__xludf.DUMMYFUNCTION("""COMPUTED_VALUE"""),0)</f>
        <v>0</v>
      </c>
      <c r="G89" s="3">
        <f ca="1">IFERROR(__xludf.DUMMYFUNCTION("""COMPUTED_VALUE"""),0)</f>
        <v>0</v>
      </c>
      <c r="H89" s="3">
        <f ca="1">IFERROR(__xludf.DUMMYFUNCTION("""COMPUTED_VALUE"""),0)</f>
        <v>0</v>
      </c>
      <c r="I89" s="3">
        <f ca="1">IFERROR(__xludf.DUMMYFUNCTION("""COMPUTED_VALUE"""),0)</f>
        <v>0</v>
      </c>
      <c r="J89" s="3">
        <f ca="1">IFERROR(__xludf.DUMMYFUNCTION("""COMPUTED_VALUE"""),0)</f>
        <v>0</v>
      </c>
      <c r="K89" s="3">
        <f ca="1">IFERROR(__xludf.DUMMYFUNCTION("""COMPUTED_VALUE"""),0)</f>
        <v>0</v>
      </c>
      <c r="L89" s="3">
        <f ca="1">IFERROR(__xludf.DUMMYFUNCTION("""COMPUTED_VALUE"""),0)</f>
        <v>0</v>
      </c>
      <c r="M89" s="3">
        <f ca="1">IFERROR(__xludf.DUMMYFUNCTION("""COMPUTED_VALUE"""),0)</f>
        <v>0</v>
      </c>
      <c r="N89" s="12">
        <f ca="1">IF(M89="",, SUM(B89:M89))</f>
        <v>61234.801338500001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outlineLevel="1" x14ac:dyDescent="0.2">
      <c r="A90" s="2" t="str">
        <f ca="1">IFERROR(__xludf.DUMMYFUNCTION("""COMPUTED_VALUE"""),"Café Inf")</f>
        <v>Café Inf</v>
      </c>
      <c r="B90" s="3">
        <f ca="1">IFERROR(__xludf.DUMMYFUNCTION("""COMPUTED_VALUE"""),4165.19588)</f>
        <v>4165.1958800000002</v>
      </c>
      <c r="C90" s="3">
        <f ca="1">IFERROR(__xludf.DUMMYFUNCTION("""COMPUTED_VALUE"""),0)</f>
        <v>0</v>
      </c>
      <c r="D90" s="3">
        <f ca="1">IFERROR(__xludf.DUMMYFUNCTION("""COMPUTED_VALUE"""),0)</f>
        <v>0</v>
      </c>
      <c r="E90" s="3">
        <f ca="1">IFERROR(__xludf.DUMMYFUNCTION("""COMPUTED_VALUE"""),0)</f>
        <v>0</v>
      </c>
      <c r="F90" s="3">
        <f ca="1">IFERROR(__xludf.DUMMYFUNCTION("""COMPUTED_VALUE"""),0)</f>
        <v>0</v>
      </c>
      <c r="G90" s="3">
        <f ca="1">IFERROR(__xludf.DUMMYFUNCTION("""COMPUTED_VALUE"""),0)</f>
        <v>0</v>
      </c>
      <c r="H90" s="3">
        <f ca="1">IFERROR(__xludf.DUMMYFUNCTION("""COMPUTED_VALUE"""),0)</f>
        <v>0</v>
      </c>
      <c r="I90" s="3">
        <f ca="1">IFERROR(__xludf.DUMMYFUNCTION("""COMPUTED_VALUE"""),0)</f>
        <v>0</v>
      </c>
      <c r="J90" s="3">
        <f ca="1">IFERROR(__xludf.DUMMYFUNCTION("""COMPUTED_VALUE"""),0)</f>
        <v>0</v>
      </c>
      <c r="K90" s="3">
        <f ca="1">IFERROR(__xludf.DUMMYFUNCTION("""COMPUTED_VALUE"""),0)</f>
        <v>0</v>
      </c>
      <c r="L90" s="3">
        <f ca="1">IFERROR(__xludf.DUMMYFUNCTION("""COMPUTED_VALUE"""),0)</f>
        <v>0</v>
      </c>
      <c r="M90" s="3">
        <f ca="1">IFERROR(__xludf.DUMMYFUNCTION("""COMPUTED_VALUE"""),0)</f>
        <v>0</v>
      </c>
      <c r="N90" s="12">
        <f ca="1">IF(M90="",, SUM(B90:M90))</f>
        <v>4165.1958800000002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outlineLevel="1" x14ac:dyDescent="0.2">
      <c r="A91" s="2" t="str">
        <f ca="1">IFERROR(__xludf.DUMMYFUNCTION("""COMPUTED_VALUE"""),"Destilados")</f>
        <v>Destilados</v>
      </c>
      <c r="B91" s="3">
        <f ca="1">IFERROR(__xludf.DUMMYFUNCTION("""COMPUTED_VALUE"""),23428.8205204999)</f>
        <v>23428.820520499899</v>
      </c>
      <c r="C91" s="3">
        <f ca="1">IFERROR(__xludf.DUMMYFUNCTION("""COMPUTED_VALUE"""),0)</f>
        <v>0</v>
      </c>
      <c r="D91" s="3">
        <f ca="1">IFERROR(__xludf.DUMMYFUNCTION("""COMPUTED_VALUE"""),0)</f>
        <v>0</v>
      </c>
      <c r="E91" s="3">
        <f ca="1">IFERROR(__xludf.DUMMYFUNCTION("""COMPUTED_VALUE"""),0)</f>
        <v>0</v>
      </c>
      <c r="F91" s="3">
        <f ca="1">IFERROR(__xludf.DUMMYFUNCTION("""COMPUTED_VALUE"""),0)</f>
        <v>0</v>
      </c>
      <c r="G91" s="3">
        <f ca="1">IFERROR(__xludf.DUMMYFUNCTION("""COMPUTED_VALUE"""),0)</f>
        <v>0</v>
      </c>
      <c r="H91" s="3">
        <f ca="1">IFERROR(__xludf.DUMMYFUNCTION("""COMPUTED_VALUE"""),0)</f>
        <v>0</v>
      </c>
      <c r="I91" s="3">
        <f ca="1">IFERROR(__xludf.DUMMYFUNCTION("""COMPUTED_VALUE"""),0)</f>
        <v>0</v>
      </c>
      <c r="J91" s="3">
        <f ca="1">IFERROR(__xludf.DUMMYFUNCTION("""COMPUTED_VALUE"""),0)</f>
        <v>0</v>
      </c>
      <c r="K91" s="3">
        <f ca="1">IFERROR(__xludf.DUMMYFUNCTION("""COMPUTED_VALUE"""),0)</f>
        <v>0</v>
      </c>
      <c r="L91" s="3">
        <f ca="1">IFERROR(__xludf.DUMMYFUNCTION("""COMPUTED_VALUE"""),0)</f>
        <v>0</v>
      </c>
      <c r="M91" s="3">
        <f ca="1">IFERROR(__xludf.DUMMYFUNCTION("""COMPUTED_VALUE"""),0)</f>
        <v>0</v>
      </c>
      <c r="N91" s="12">
        <f ca="1">IF(M91="",, SUM(B91:M91))</f>
        <v>23428.820520499899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outlineLevel="1" x14ac:dyDescent="0.2">
      <c r="A92" s="2" t="str">
        <f ca="1">IFERROR(__xludf.DUMMYFUNCTION("""COMPUTED_VALUE"""),"Vinos")</f>
        <v>Vinos</v>
      </c>
      <c r="B92" s="3">
        <f ca="1">IFERROR(__xludf.DUMMYFUNCTION("""COMPUTED_VALUE"""),8443.143761)</f>
        <v>8443.1437609999994</v>
      </c>
      <c r="C92" s="3">
        <f ca="1">IFERROR(__xludf.DUMMYFUNCTION("""COMPUTED_VALUE"""),0)</f>
        <v>0</v>
      </c>
      <c r="D92" s="3">
        <f ca="1">IFERROR(__xludf.DUMMYFUNCTION("""COMPUTED_VALUE"""),0)</f>
        <v>0</v>
      </c>
      <c r="E92" s="3">
        <f ca="1">IFERROR(__xludf.DUMMYFUNCTION("""COMPUTED_VALUE"""),0)</f>
        <v>0</v>
      </c>
      <c r="F92" s="3">
        <f ca="1">IFERROR(__xludf.DUMMYFUNCTION("""COMPUTED_VALUE"""),0)</f>
        <v>0</v>
      </c>
      <c r="G92" s="3">
        <f ca="1">IFERROR(__xludf.DUMMYFUNCTION("""COMPUTED_VALUE"""),0)</f>
        <v>0</v>
      </c>
      <c r="H92" s="3">
        <f ca="1">IFERROR(__xludf.DUMMYFUNCTION("""COMPUTED_VALUE"""),0)</f>
        <v>0</v>
      </c>
      <c r="I92" s="3">
        <f ca="1">IFERROR(__xludf.DUMMYFUNCTION("""COMPUTED_VALUE"""),0)</f>
        <v>0</v>
      </c>
      <c r="J92" s="3">
        <f ca="1">IFERROR(__xludf.DUMMYFUNCTION("""COMPUTED_VALUE"""),0)</f>
        <v>0</v>
      </c>
      <c r="K92" s="3">
        <f ca="1">IFERROR(__xludf.DUMMYFUNCTION("""COMPUTED_VALUE"""),0)</f>
        <v>0</v>
      </c>
      <c r="L92" s="3">
        <f ca="1">IFERROR(__xludf.DUMMYFUNCTION("""COMPUTED_VALUE"""),0)</f>
        <v>0</v>
      </c>
      <c r="M92" s="3">
        <f ca="1">IFERROR(__xludf.DUMMYFUNCTION("""COMPUTED_VALUE"""),0)</f>
        <v>0</v>
      </c>
      <c r="N92" s="12">
        <f ca="1">IF(M92="",, SUM(B92:M92))</f>
        <v>8443.1437609999994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outlineLevel="1" x14ac:dyDescent="0.2">
      <c r="A93" s="2" t="str">
        <f ca="1">IFERROR(__xludf.DUMMYFUNCTION("""COMPUTED_VALUE"""),"")</f>
        <v/>
      </c>
      <c r="B93" s="3" t="str">
        <f ca="1">IFERROR(__xludf.DUMMYFUNCTION("""COMPUTED_VALUE"""),"")</f>
        <v/>
      </c>
      <c r="C93" s="3" t="str">
        <f ca="1">IFERROR(__xludf.DUMMYFUNCTION("""COMPUTED_VALUE"""),"")</f>
        <v/>
      </c>
      <c r="D93" s="3" t="str">
        <f ca="1">IFERROR(__xludf.DUMMYFUNCTION("""COMPUTED_VALUE"""),"")</f>
        <v/>
      </c>
      <c r="E93" s="3" t="str">
        <f ca="1">IFERROR(__xludf.DUMMYFUNCTION("""COMPUTED_VALUE"""),"")</f>
        <v/>
      </c>
      <c r="F93" s="3" t="str">
        <f ca="1">IFERROR(__xludf.DUMMYFUNCTION("""COMPUTED_VALUE"""),"")</f>
        <v/>
      </c>
      <c r="G93" s="3" t="str">
        <f ca="1">IFERROR(__xludf.DUMMYFUNCTION("""COMPUTED_VALUE"""),"")</f>
        <v/>
      </c>
      <c r="H93" s="3" t="str">
        <f ca="1">IFERROR(__xludf.DUMMYFUNCTION("""COMPUTED_VALUE"""),"")</f>
        <v/>
      </c>
      <c r="I93" s="3" t="str">
        <f ca="1">IFERROR(__xludf.DUMMYFUNCTION("""COMPUTED_VALUE"""),"")</f>
        <v/>
      </c>
      <c r="J93" s="3" t="str">
        <f ca="1">IFERROR(__xludf.DUMMYFUNCTION("""COMPUTED_VALUE"""),"")</f>
        <v/>
      </c>
      <c r="K93" s="3" t="str">
        <f ca="1">IFERROR(__xludf.DUMMYFUNCTION("""COMPUTED_VALUE"""),"")</f>
        <v/>
      </c>
      <c r="L93" s="3" t="str">
        <f ca="1">IFERROR(__xludf.DUMMYFUNCTION("""COMPUTED_VALUE"""),"")</f>
        <v/>
      </c>
      <c r="M93" s="3" t="str">
        <f ca="1">IFERROR(__xludf.DUMMYFUNCTION("""COMPUTED_VALUE"""),"")</f>
        <v/>
      </c>
      <c r="N93" s="12">
        <f ca="1">IF(M93="",, SUM(B93:M93))</f>
        <v>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outlineLevel="1" x14ac:dyDescent="0.2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12">
        <f>IF(M94="",, SUM(B94:M94))</f>
        <v>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outlineLevel="1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>
        <f>IF(M95="",, SUM(B95:M95))</f>
        <v>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outlineLevel="1" x14ac:dyDescent="0.2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12">
        <f>IF(M96="",, SUM(B96:M96))</f>
        <v>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outlineLevel="1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12">
        <f>IF(M97="",, SUM(B97:M97))</f>
        <v>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0"/>
      <c r="B98" s="11"/>
      <c r="C98" s="1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2" t="s">
        <v>16</v>
      </c>
      <c r="B99" s="12">
        <f ca="1">SUM(B54:B97)/2</f>
        <v>2719039.4299293356</v>
      </c>
      <c r="C99" s="12">
        <f ca="1">SUM(C54:C97)/2</f>
        <v>0</v>
      </c>
      <c r="D99" s="12">
        <f ca="1">SUM(D54:D97)/2</f>
        <v>0</v>
      </c>
      <c r="E99" s="12">
        <f ca="1">SUM(E54:E97)/2</f>
        <v>0</v>
      </c>
      <c r="F99" s="12">
        <f ca="1">SUM(F54:F97)/2</f>
        <v>0</v>
      </c>
      <c r="G99" s="12">
        <f ca="1">SUM(G54:G97)/2</f>
        <v>0</v>
      </c>
      <c r="H99" s="12">
        <f ca="1">SUM(H54:H97)/2</f>
        <v>0</v>
      </c>
      <c r="I99" s="12">
        <f ca="1">SUM(I54:I97)/2</f>
        <v>0</v>
      </c>
      <c r="J99" s="12">
        <f ca="1">SUM(J54:J97)/2</f>
        <v>0</v>
      </c>
      <c r="K99" s="12">
        <f ca="1">SUM(K54:K97)/2</f>
        <v>0</v>
      </c>
      <c r="L99" s="12">
        <f ca="1">SUM(L54:L97)/2</f>
        <v>0</v>
      </c>
      <c r="M99" s="12">
        <f ca="1">SUM(M54:M97)/2</f>
        <v>0</v>
      </c>
      <c r="N99" s="12">
        <f ca="1">SUM(N54:N97)/2</f>
        <v>2719039.4299293356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7" t="s">
        <v>8</v>
      </c>
      <c r="B100" s="6">
        <f ca="1">IFERROR(B99/B50,0)</f>
        <v>0.30257302902879407</v>
      </c>
      <c r="C100" s="6">
        <f ca="1">IFERROR(C99/C50,0)</f>
        <v>0</v>
      </c>
      <c r="D100" s="6">
        <f ca="1">IFERROR(D99/D50,0)</f>
        <v>0</v>
      </c>
      <c r="E100" s="6">
        <f ca="1">IFERROR(E99/E50,0)</f>
        <v>0</v>
      </c>
      <c r="F100" s="6">
        <f ca="1">IFERROR(F99/F50,0)</f>
        <v>0</v>
      </c>
      <c r="G100" s="6">
        <f ca="1">IFERROR(G99/G50,0)</f>
        <v>0</v>
      </c>
      <c r="H100" s="6">
        <f ca="1">IFERROR(H99/H50,0)</f>
        <v>0</v>
      </c>
      <c r="I100" s="6">
        <f ca="1">IFERROR(I99/I50,0)</f>
        <v>0</v>
      </c>
      <c r="J100" s="6">
        <f ca="1">IFERROR(J99/J50,0)</f>
        <v>0</v>
      </c>
      <c r="K100" s="6">
        <f ca="1">IFERROR(K99/K50,0)</f>
        <v>0</v>
      </c>
      <c r="L100" s="6">
        <f ca="1">IFERROR(L99/L50,0)</f>
        <v>0</v>
      </c>
      <c r="M100" s="6">
        <f ca="1">IFERROR(M99/M50,0)</f>
        <v>0</v>
      </c>
      <c r="N100" s="6">
        <f ca="1">IFERROR(N99/N50,0)</f>
        <v>0.30257302902879407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10"/>
      <c r="B101" s="11"/>
      <c r="C101" s="1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4" t="s">
        <v>15</v>
      </c>
      <c r="B102" s="12">
        <f ca="1">B50-B99</f>
        <v>6267351.1900706412</v>
      </c>
      <c r="C102" s="12">
        <f ca="1">C50-C99</f>
        <v>0</v>
      </c>
      <c r="D102" s="12">
        <f ca="1">D50-D99</f>
        <v>0</v>
      </c>
      <c r="E102" s="12">
        <f ca="1">E50-E99</f>
        <v>0</v>
      </c>
      <c r="F102" s="12">
        <f ca="1">F50-F99</f>
        <v>0</v>
      </c>
      <c r="G102" s="12">
        <f ca="1">G50-G99</f>
        <v>0</v>
      </c>
      <c r="H102" s="12">
        <f ca="1">H50-H99</f>
        <v>0</v>
      </c>
      <c r="I102" s="12">
        <f ca="1">I50-I99</f>
        <v>0</v>
      </c>
      <c r="J102" s="12">
        <f ca="1">J50-J99</f>
        <v>0</v>
      </c>
      <c r="K102" s="12">
        <f ca="1">K50-K99</f>
        <v>0</v>
      </c>
      <c r="L102" s="12">
        <f ca="1">L50-L99</f>
        <v>0</v>
      </c>
      <c r="M102" s="12">
        <f ca="1">M50-M99</f>
        <v>0</v>
      </c>
      <c r="N102" s="12">
        <f ca="1">N50-N99</f>
        <v>6267351.1900706412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7" t="s">
        <v>1</v>
      </c>
      <c r="B103" s="6">
        <f ca="1">IFERROR(B102/B50,0)</f>
        <v>0.69742697097120598</v>
      </c>
      <c r="C103" s="6">
        <f ca="1">IFERROR(C102/C50,0)</f>
        <v>0</v>
      </c>
      <c r="D103" s="6">
        <f ca="1">IFERROR(D102/D50,0)</f>
        <v>0</v>
      </c>
      <c r="E103" s="6">
        <f ca="1">IFERROR(E102/E50,0)</f>
        <v>0</v>
      </c>
      <c r="F103" s="6">
        <f ca="1">IFERROR(F102/F50,0)</f>
        <v>0</v>
      </c>
      <c r="G103" s="6">
        <f ca="1">IFERROR(G102/G50,0)</f>
        <v>0</v>
      </c>
      <c r="H103" s="6">
        <f ca="1">IFERROR(H102/H50,0)</f>
        <v>0</v>
      </c>
      <c r="I103" s="6">
        <f ca="1">IFERROR(I102/I50,0)</f>
        <v>0</v>
      </c>
      <c r="J103" s="6">
        <f ca="1">IFERROR(J102/J50,0)</f>
        <v>0</v>
      </c>
      <c r="K103" s="6">
        <f ca="1">IFERROR(K102/K50,0)</f>
        <v>0</v>
      </c>
      <c r="L103" s="6">
        <f ca="1">IFERROR(L102/L50,0)</f>
        <v>0</v>
      </c>
      <c r="M103" s="6">
        <f ca="1">IFERROR(M102/M50,0)</f>
        <v>0</v>
      </c>
      <c r="N103" s="6">
        <f ca="1">IFERROR(N102/N50,0)</f>
        <v>0.69742697097120598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2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2" t="s">
        <v>14</v>
      </c>
      <c r="B105" s="13">
        <f ca="1">SUMIFS('[1]NÓMINA 2026'!$G:$G,'[1]NÓMINA 2026'!$A:$A,B$2)</f>
        <v>2301832.9622899997</v>
      </c>
      <c r="C105" s="13">
        <f ca="1">SUMIFS('[1]NÓMINA 2026'!$G:$G,'[1]NÓMINA 2026'!$A:$A,C$2)</f>
        <v>0</v>
      </c>
      <c r="D105" s="13">
        <f ca="1">SUMIFS('[1]NÓMINA 2026'!$G:$G,'[1]NÓMINA 2026'!$A:$A,D$2)</f>
        <v>0</v>
      </c>
      <c r="E105" s="13">
        <f ca="1">SUMIFS('[1]NÓMINA 2026'!$G:$G,'[1]NÓMINA 2026'!$A:$A,E$2)</f>
        <v>0</v>
      </c>
      <c r="F105" s="13">
        <f ca="1">SUMIFS('[1]NÓMINA 2026'!$G:$G,'[1]NÓMINA 2026'!$A:$A,F$2)</f>
        <v>0</v>
      </c>
      <c r="G105" s="13">
        <f ca="1">SUMIFS('[1]NÓMINA 2026'!$G:$G,'[1]NÓMINA 2026'!$A:$A,G$2)</f>
        <v>0</v>
      </c>
      <c r="H105" s="13">
        <f ca="1">SUMIFS('[1]NÓMINA 2026'!$G:$G,'[1]NÓMINA 2026'!$A:$A,H$2)</f>
        <v>0</v>
      </c>
      <c r="I105" s="13">
        <f ca="1">SUMIFS('[1]NÓMINA 2026'!$G:$G,'[1]NÓMINA 2026'!$A:$A,I$2)</f>
        <v>0</v>
      </c>
      <c r="J105" s="13">
        <f ca="1">SUMIFS('[1]NÓMINA 2026'!$G:$G,'[1]NÓMINA 2026'!$A:$A,J$2)</f>
        <v>0</v>
      </c>
      <c r="K105" s="13">
        <f ca="1">SUMIFS('[1]NÓMINA 2026'!$G:$G,'[1]NÓMINA 2026'!$A:$A,K$2)</f>
        <v>0</v>
      </c>
      <c r="L105" s="13">
        <f ca="1">SUMIFS('[1]NÓMINA 2026'!$G:$G,'[1]NÓMINA 2026'!$A:$A,L$2)</f>
        <v>0</v>
      </c>
      <c r="M105" s="13">
        <f ca="1">SUMIFS('[1]NÓMINA 2026'!$G:$G,'[1]NÓMINA 2026'!$A:$A,M$2)</f>
        <v>0</v>
      </c>
      <c r="N105" s="12">
        <f ca="1">SUM(B105:M105)</f>
        <v>2301832.9622899997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2" t="s">
        <v>13</v>
      </c>
      <c r="B106" s="13">
        <f ca="1">SUMIFS('[1]GASTOS 2026'!$F:$F,'[1]GASTOS 2026'!$A:$A,B$2,'[1]GASTOS 2026'!$D:$D,$A106)</f>
        <v>108084.78</v>
      </c>
      <c r="C106" s="13">
        <f ca="1">SUMIFS('[1]GASTOS 2026'!$F:$F,'[1]GASTOS 2026'!$A:$A,C$2,'[1]GASTOS 2026'!$D:$D,$A106)</f>
        <v>0</v>
      </c>
      <c r="D106" s="13">
        <f ca="1">SUMIFS('[1]GASTOS 2026'!$F:$F,'[1]GASTOS 2026'!$A:$A,D$2,'[1]GASTOS 2026'!$D:$D,$A106)</f>
        <v>0</v>
      </c>
      <c r="E106" s="13">
        <f ca="1">SUMIFS('[1]GASTOS 2026'!$F:$F,'[1]GASTOS 2026'!$A:$A,E$2,'[1]GASTOS 2026'!$D:$D,$A106)</f>
        <v>0</v>
      </c>
      <c r="F106" s="13">
        <f ca="1">SUMIFS('[1]GASTOS 2026'!$F:$F,'[1]GASTOS 2026'!$A:$A,F$2,'[1]GASTOS 2026'!$D:$D,$A106)</f>
        <v>0</v>
      </c>
      <c r="G106" s="13">
        <f ca="1">SUMIFS('[1]GASTOS 2026'!$F:$F,'[1]GASTOS 2026'!$A:$A,G$2,'[1]GASTOS 2026'!$D:$D,$A106)</f>
        <v>0</v>
      </c>
      <c r="H106" s="13">
        <f ca="1">SUMIFS('[1]GASTOS 2026'!$F:$F,'[1]GASTOS 2026'!$A:$A,H$2,'[1]GASTOS 2026'!$D:$D,$A106)</f>
        <v>0</v>
      </c>
      <c r="I106" s="13">
        <f ca="1">SUMIFS('[1]GASTOS 2026'!$F:$F,'[1]GASTOS 2026'!$A:$A,I$2,'[1]GASTOS 2026'!$D:$D,$A106)</f>
        <v>0</v>
      </c>
      <c r="J106" s="13">
        <f ca="1">SUMIFS('[1]GASTOS 2026'!$F:$F,'[1]GASTOS 2026'!$A:$A,J$2,'[1]GASTOS 2026'!$D:$D,$A106)</f>
        <v>0</v>
      </c>
      <c r="K106" s="13">
        <f ca="1">SUMIFS('[1]GASTOS 2026'!$F:$F,'[1]GASTOS 2026'!$A:$A,K$2,'[1]GASTOS 2026'!$D:$D,$A106)</f>
        <v>0</v>
      </c>
      <c r="L106" s="13">
        <f ca="1">SUMIFS('[1]GASTOS 2026'!$F:$F,'[1]GASTOS 2026'!$A:$A,L$2,'[1]GASTOS 2026'!$D:$D,$A106)</f>
        <v>0</v>
      </c>
      <c r="M106" s="13">
        <f ca="1">SUMIFS('[1]GASTOS 2026'!$F:$F,'[1]GASTOS 2026'!$A:$A,M$2,'[1]GASTOS 2026'!$D:$D,$A106)</f>
        <v>0</v>
      </c>
      <c r="N106" s="12">
        <f ca="1">SUM(B106:M106)</f>
        <v>108084.78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2" t="s">
        <v>12</v>
      </c>
      <c r="B107" s="13">
        <f ca="1">SUMIFS('[1]GASTOS 2026'!$F:$F,'[1]GASTOS 2026'!$A:$A,B$2,'[1]GASTOS 2026'!$D:$D,$A107)</f>
        <v>1242396.4127999998</v>
      </c>
      <c r="C107" s="13">
        <f ca="1">SUMIFS('[1]GASTOS 2026'!$F:$F,'[1]GASTOS 2026'!$A:$A,C$2,'[1]GASTOS 2026'!$D:$D,$A107)</f>
        <v>0</v>
      </c>
      <c r="D107" s="13">
        <f ca="1">SUMIFS('[1]GASTOS 2026'!$F:$F,'[1]GASTOS 2026'!$A:$A,D$2,'[1]GASTOS 2026'!$D:$D,$A107)</f>
        <v>0</v>
      </c>
      <c r="E107" s="13">
        <f ca="1">SUMIFS('[1]GASTOS 2026'!$F:$F,'[1]GASTOS 2026'!$A:$A,E$2,'[1]GASTOS 2026'!$D:$D,$A107)</f>
        <v>0</v>
      </c>
      <c r="F107" s="13">
        <f ca="1">SUMIFS('[1]GASTOS 2026'!$F:$F,'[1]GASTOS 2026'!$A:$A,F$2,'[1]GASTOS 2026'!$D:$D,$A107)</f>
        <v>0</v>
      </c>
      <c r="G107" s="13">
        <f ca="1">SUMIFS('[1]GASTOS 2026'!$F:$F,'[1]GASTOS 2026'!$A:$A,G$2,'[1]GASTOS 2026'!$D:$D,$A107)</f>
        <v>0</v>
      </c>
      <c r="H107" s="13">
        <f ca="1">SUMIFS('[1]GASTOS 2026'!$F:$F,'[1]GASTOS 2026'!$A:$A,H$2,'[1]GASTOS 2026'!$D:$D,$A107)</f>
        <v>0</v>
      </c>
      <c r="I107" s="13">
        <f ca="1">SUMIFS('[1]GASTOS 2026'!$F:$F,'[1]GASTOS 2026'!$A:$A,I$2,'[1]GASTOS 2026'!$D:$D,$A107)</f>
        <v>0</v>
      </c>
      <c r="J107" s="13">
        <f ca="1">SUMIFS('[1]GASTOS 2026'!$F:$F,'[1]GASTOS 2026'!$A:$A,J$2,'[1]GASTOS 2026'!$D:$D,$A107)</f>
        <v>0</v>
      </c>
      <c r="K107" s="13">
        <f ca="1">SUMIFS('[1]GASTOS 2026'!$F:$F,'[1]GASTOS 2026'!$A:$A,K$2,'[1]GASTOS 2026'!$D:$D,$A107)</f>
        <v>0</v>
      </c>
      <c r="L107" s="13">
        <f ca="1">SUMIFS('[1]GASTOS 2026'!$F:$F,'[1]GASTOS 2026'!$A:$A,L$2,'[1]GASTOS 2026'!$D:$D,$A107)</f>
        <v>0</v>
      </c>
      <c r="M107" s="13">
        <f ca="1">SUMIFS('[1]GASTOS 2026'!$F:$F,'[1]GASTOS 2026'!$A:$A,M$2,'[1]GASTOS 2026'!$D:$D,$A107)</f>
        <v>0</v>
      </c>
      <c r="N107" s="12">
        <f ca="1">SUM(B107:M107)</f>
        <v>1242396.4127999998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2" t="s">
        <v>11</v>
      </c>
      <c r="B108" s="13">
        <f ca="1">SUMIFS('[1]GASTOS 2026'!$F:$F,'[1]GASTOS 2026'!$A:$A,B$2,'[1]GASTOS 2026'!$D:$D,$A108)</f>
        <v>166739.5379</v>
      </c>
      <c r="C108" s="13">
        <f ca="1">SUMIFS('[1]GASTOS 2026'!$F:$F,'[1]GASTOS 2026'!$A:$A,C$2,'[1]GASTOS 2026'!$D:$D,$A108)</f>
        <v>0</v>
      </c>
      <c r="D108" s="13">
        <f ca="1">SUMIFS('[1]GASTOS 2026'!$F:$F,'[1]GASTOS 2026'!$A:$A,D$2,'[1]GASTOS 2026'!$D:$D,$A108)</f>
        <v>0</v>
      </c>
      <c r="E108" s="13">
        <f ca="1">SUMIFS('[1]GASTOS 2026'!$F:$F,'[1]GASTOS 2026'!$A:$A,E$2,'[1]GASTOS 2026'!$D:$D,$A108)</f>
        <v>0</v>
      </c>
      <c r="F108" s="13">
        <f ca="1">SUMIFS('[1]GASTOS 2026'!$F:$F,'[1]GASTOS 2026'!$A:$A,F$2,'[1]GASTOS 2026'!$D:$D,$A108)</f>
        <v>0</v>
      </c>
      <c r="G108" s="13">
        <f ca="1">SUMIFS('[1]GASTOS 2026'!$F:$F,'[1]GASTOS 2026'!$A:$A,G$2,'[1]GASTOS 2026'!$D:$D,$A108)</f>
        <v>0</v>
      </c>
      <c r="H108" s="13">
        <f ca="1">SUMIFS('[1]GASTOS 2026'!$F:$F,'[1]GASTOS 2026'!$A:$A,H$2,'[1]GASTOS 2026'!$D:$D,$A108)</f>
        <v>0</v>
      </c>
      <c r="I108" s="13">
        <f ca="1">SUMIFS('[1]GASTOS 2026'!$F:$F,'[1]GASTOS 2026'!$A:$A,I$2,'[1]GASTOS 2026'!$D:$D,$A108)</f>
        <v>0</v>
      </c>
      <c r="J108" s="13">
        <f ca="1">SUMIFS('[1]GASTOS 2026'!$F:$F,'[1]GASTOS 2026'!$A:$A,J$2,'[1]GASTOS 2026'!$D:$D,$A108)</f>
        <v>0</v>
      </c>
      <c r="K108" s="13">
        <f ca="1">SUMIFS('[1]GASTOS 2026'!$F:$F,'[1]GASTOS 2026'!$A:$A,K$2,'[1]GASTOS 2026'!$D:$D,$A108)</f>
        <v>0</v>
      </c>
      <c r="L108" s="13">
        <f ca="1">SUMIFS('[1]GASTOS 2026'!$F:$F,'[1]GASTOS 2026'!$A:$A,L$2,'[1]GASTOS 2026'!$D:$D,$A108)</f>
        <v>0</v>
      </c>
      <c r="M108" s="13">
        <f ca="1">SUMIFS('[1]GASTOS 2026'!$F:$F,'[1]GASTOS 2026'!$A:$A,M$2,'[1]GASTOS 2026'!$D:$D,$A108)</f>
        <v>0</v>
      </c>
      <c r="N108" s="12">
        <f ca="1">SUM(B108:M108)</f>
        <v>166739.5379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2" t="s">
        <v>10</v>
      </c>
      <c r="B109" s="13">
        <f ca="1">SUMIFS('[1]GASTOS 2026'!$F:$F,'[1]GASTOS 2026'!$A:$A,B$2,'[1]GASTOS 2026'!$D:$D,$A109)</f>
        <v>212692.61</v>
      </c>
      <c r="C109" s="13">
        <f ca="1">SUMIFS('[1]GASTOS 2026'!$F:$F,'[1]GASTOS 2026'!$A:$A,C$2,'[1]GASTOS 2026'!$D:$D,$A109)</f>
        <v>0</v>
      </c>
      <c r="D109" s="13">
        <f ca="1">SUMIFS('[1]GASTOS 2026'!$F:$F,'[1]GASTOS 2026'!$A:$A,D$2,'[1]GASTOS 2026'!$D:$D,$A109)</f>
        <v>0</v>
      </c>
      <c r="E109" s="13">
        <f ca="1">SUMIFS('[1]GASTOS 2026'!$F:$F,'[1]GASTOS 2026'!$A:$A,E$2,'[1]GASTOS 2026'!$D:$D,$A109)</f>
        <v>0</v>
      </c>
      <c r="F109" s="13">
        <f ca="1">SUMIFS('[1]GASTOS 2026'!$F:$F,'[1]GASTOS 2026'!$A:$A,F$2,'[1]GASTOS 2026'!$D:$D,$A109)</f>
        <v>0</v>
      </c>
      <c r="G109" s="13">
        <f ca="1">SUMIFS('[1]GASTOS 2026'!$F:$F,'[1]GASTOS 2026'!$A:$A,G$2,'[1]GASTOS 2026'!$D:$D,$A109)</f>
        <v>0</v>
      </c>
      <c r="H109" s="13">
        <f ca="1">SUMIFS('[1]GASTOS 2026'!$F:$F,'[1]GASTOS 2026'!$A:$A,H$2,'[1]GASTOS 2026'!$D:$D,$A109)</f>
        <v>0</v>
      </c>
      <c r="I109" s="13">
        <f ca="1">SUMIFS('[1]GASTOS 2026'!$F:$F,'[1]GASTOS 2026'!$A:$A,I$2,'[1]GASTOS 2026'!$D:$D,$A109)</f>
        <v>0</v>
      </c>
      <c r="J109" s="13">
        <f ca="1">SUMIFS('[1]GASTOS 2026'!$F:$F,'[1]GASTOS 2026'!$A:$A,J$2,'[1]GASTOS 2026'!$D:$D,$A109)</f>
        <v>0</v>
      </c>
      <c r="K109" s="13">
        <f ca="1">SUMIFS('[1]GASTOS 2026'!$F:$F,'[1]GASTOS 2026'!$A:$A,K$2,'[1]GASTOS 2026'!$D:$D,$A109)</f>
        <v>0</v>
      </c>
      <c r="L109" s="13">
        <f ca="1">SUMIFS('[1]GASTOS 2026'!$F:$F,'[1]GASTOS 2026'!$A:$A,L$2,'[1]GASTOS 2026'!$D:$D,$A109)</f>
        <v>0</v>
      </c>
      <c r="M109" s="13">
        <f ca="1">SUMIFS('[1]GASTOS 2026'!$F:$F,'[1]GASTOS 2026'!$A:$A,M$2,'[1]GASTOS 2026'!$D:$D,$A109)</f>
        <v>0</v>
      </c>
      <c r="N109" s="12">
        <f ca="1">SUM(B109:M109)</f>
        <v>212692.61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2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0"/>
      <c r="B111" s="11"/>
      <c r="C111" s="1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2" t="s">
        <v>9</v>
      </c>
      <c r="B112" s="12">
        <f ca="1">SUM(B105:B109)</f>
        <v>4031746.3029899993</v>
      </c>
      <c r="C112" s="12">
        <f ca="1">SUM(C105:C109)</f>
        <v>0</v>
      </c>
      <c r="D112" s="12">
        <f ca="1">SUM(D105:D109)</f>
        <v>0</v>
      </c>
      <c r="E112" s="12">
        <f ca="1">SUM(E105:E109)</f>
        <v>0</v>
      </c>
      <c r="F112" s="12">
        <f ca="1">SUM(F105:F109)</f>
        <v>0</v>
      </c>
      <c r="G112" s="12">
        <f ca="1">SUM(G105:G109)</f>
        <v>0</v>
      </c>
      <c r="H112" s="12">
        <f ca="1">SUM(H105:H109)</f>
        <v>0</v>
      </c>
      <c r="I112" s="12">
        <f ca="1">SUM(I105:I109)</f>
        <v>0</v>
      </c>
      <c r="J112" s="12">
        <f ca="1">SUM(J105:J109)</f>
        <v>0</v>
      </c>
      <c r="K112" s="12">
        <f ca="1">SUM(K105:K109)</f>
        <v>0</v>
      </c>
      <c r="L112" s="12">
        <f ca="1">SUM(L105:L109)</f>
        <v>0</v>
      </c>
      <c r="M112" s="12">
        <f ca="1">SUM(M105:M109)</f>
        <v>0</v>
      </c>
      <c r="N112" s="12">
        <f ca="1">SUM(N105:N109)</f>
        <v>4031746.3029899993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7" t="s">
        <v>8</v>
      </c>
      <c r="B113" s="6">
        <f ca="1">IFERROR(B112/B50,0)</f>
        <v>0.44865023939834142</v>
      </c>
      <c r="C113" s="6">
        <f ca="1">IFERROR(C112/C50,0)</f>
        <v>0</v>
      </c>
      <c r="D113" s="6">
        <f ca="1">IFERROR(D112/D50,0)</f>
        <v>0</v>
      </c>
      <c r="E113" s="6">
        <f ca="1">IFERROR(E112/E50,0)</f>
        <v>0</v>
      </c>
      <c r="F113" s="6">
        <f ca="1">IFERROR(F112/F50,0)</f>
        <v>0</v>
      </c>
      <c r="G113" s="6">
        <f ca="1">IFERROR(G112/G50,0)</f>
        <v>0</v>
      </c>
      <c r="H113" s="6">
        <f ca="1">IFERROR(H112/H50,0)</f>
        <v>0</v>
      </c>
      <c r="I113" s="6">
        <f ca="1">IFERROR(I112/I50,0)</f>
        <v>0</v>
      </c>
      <c r="J113" s="6">
        <f ca="1">IFERROR(J112/J50,0)</f>
        <v>0</v>
      </c>
      <c r="K113" s="6">
        <f ca="1">IFERROR(K112/K50,0)</f>
        <v>0</v>
      </c>
      <c r="L113" s="6">
        <f ca="1">IFERROR(L112/L50,0)</f>
        <v>0</v>
      </c>
      <c r="M113" s="6">
        <f ca="1">IFERROR(M112/M50,0)</f>
        <v>0</v>
      </c>
      <c r="N113" s="6">
        <f ca="1">IFERROR(N112/N50,0)</f>
        <v>0.44865023939834142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10"/>
      <c r="B114" s="11"/>
      <c r="C114" s="1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4" t="s">
        <v>7</v>
      </c>
      <c r="B115" s="12">
        <f ca="1">B102-B112</f>
        <v>2235604.8870806419</v>
      </c>
      <c r="C115" s="12">
        <f ca="1">C102-C112</f>
        <v>0</v>
      </c>
      <c r="D115" s="12">
        <f ca="1">D102-D112</f>
        <v>0</v>
      </c>
      <c r="E115" s="12">
        <f ca="1">E102-E112</f>
        <v>0</v>
      </c>
      <c r="F115" s="12">
        <f ca="1">F102-F112</f>
        <v>0</v>
      </c>
      <c r="G115" s="12">
        <f ca="1">G102-G112</f>
        <v>0</v>
      </c>
      <c r="H115" s="12">
        <f ca="1">H102-H112</f>
        <v>0</v>
      </c>
      <c r="I115" s="12">
        <f ca="1">I102-I112</f>
        <v>0</v>
      </c>
      <c r="J115" s="12">
        <f ca="1">J102-J112</f>
        <v>0</v>
      </c>
      <c r="K115" s="12">
        <f ca="1">K102-K112</f>
        <v>0</v>
      </c>
      <c r="L115" s="12">
        <f ca="1">L102-L112</f>
        <v>0</v>
      </c>
      <c r="M115" s="12">
        <f ca="1">M102-M112</f>
        <v>0</v>
      </c>
      <c r="N115" s="12">
        <f ca="1">N102-N112</f>
        <v>2235604.8870806419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7" t="s">
        <v>1</v>
      </c>
      <c r="B116" s="6">
        <f ca="1">IFERROR(B115/B50,0)</f>
        <v>0.24877673157286453</v>
      </c>
      <c r="C116" s="6">
        <f ca="1">IFERROR(C115/C50,0)</f>
        <v>0</v>
      </c>
      <c r="D116" s="6">
        <f ca="1">IFERROR(D115/D50,0)</f>
        <v>0</v>
      </c>
      <c r="E116" s="6">
        <f ca="1">IFERROR(E115/E50,0)</f>
        <v>0</v>
      </c>
      <c r="F116" s="6">
        <f ca="1">IFERROR(F115/F50,0)</f>
        <v>0</v>
      </c>
      <c r="G116" s="6">
        <f ca="1">IFERROR(G115/G50,0)</f>
        <v>0</v>
      </c>
      <c r="H116" s="6">
        <f ca="1">IFERROR(H115/H50,0)</f>
        <v>0</v>
      </c>
      <c r="I116" s="6">
        <f ca="1">IFERROR(I115/I50,0)</f>
        <v>0</v>
      </c>
      <c r="J116" s="6">
        <f ca="1">IFERROR(J115/J50,0)</f>
        <v>0</v>
      </c>
      <c r="K116" s="6">
        <f ca="1">IFERROR(K115/K50,0)</f>
        <v>0</v>
      </c>
      <c r="L116" s="6">
        <f ca="1">IFERROR(L115/L50,0)</f>
        <v>0</v>
      </c>
      <c r="M116" s="6">
        <f ca="1">IFERROR(M115/M50,0)</f>
        <v>0</v>
      </c>
      <c r="N116" s="6">
        <f ca="1">IFERROR(N115/N50,0)</f>
        <v>0.24877673157286453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2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4" t="s">
        <v>6</v>
      </c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2" t="s">
        <v>5</v>
      </c>
      <c r="B119" s="13">
        <f ca="1">SUMIFS('[1]GASTOS 2026'!$F:$F,'[1]GASTOS 2026'!$A:$A,B$2,'[1]GASTOS 2026'!$D:$D,$A119)</f>
        <v>691459.78041999997</v>
      </c>
      <c r="C119" s="13">
        <f ca="1">SUMIFS('[1]GASTOS 2026'!$F:$F,'[1]GASTOS 2026'!$A:$A,C$2,'[1]GASTOS 2026'!$D:$D,$A119)</f>
        <v>0</v>
      </c>
      <c r="D119" s="13">
        <f ca="1">SUMIFS('[1]GASTOS 2026'!$F:$F,'[1]GASTOS 2026'!$A:$A,D$2,'[1]GASTOS 2026'!$D:$D,$A119)</f>
        <v>0</v>
      </c>
      <c r="E119" s="13">
        <f ca="1">SUMIFS('[1]GASTOS 2026'!$F:$F,'[1]GASTOS 2026'!$A:$A,E$2,'[1]GASTOS 2026'!$D:$D,$A119)</f>
        <v>0</v>
      </c>
      <c r="F119" s="13">
        <f ca="1">SUMIFS('[1]GASTOS 2026'!$F:$F,'[1]GASTOS 2026'!$A:$A,F$2,'[1]GASTOS 2026'!$D:$D,$A119)</f>
        <v>0</v>
      </c>
      <c r="G119" s="13">
        <f ca="1">SUMIFS('[1]GASTOS 2026'!$F:$F,'[1]GASTOS 2026'!$A:$A,G$2,'[1]GASTOS 2026'!$D:$D,$A119)</f>
        <v>0</v>
      </c>
      <c r="H119" s="13">
        <f ca="1">SUMIFS('[1]GASTOS 2026'!$F:$F,'[1]GASTOS 2026'!$A:$A,H$2,'[1]GASTOS 2026'!$D:$D,$A119)</f>
        <v>0</v>
      </c>
      <c r="I119" s="13">
        <f ca="1">SUMIFS('[1]GASTOS 2026'!$F:$F,'[1]GASTOS 2026'!$A:$A,I$2,'[1]GASTOS 2026'!$D:$D,$A119)</f>
        <v>0</v>
      </c>
      <c r="J119" s="13">
        <f ca="1">SUMIFS('[1]GASTOS 2026'!$F:$F,'[1]GASTOS 2026'!$A:$A,J$2,'[1]GASTOS 2026'!$D:$D,$A119)</f>
        <v>0</v>
      </c>
      <c r="K119" s="13">
        <f ca="1">SUMIFS('[1]GASTOS 2026'!$F:$F,'[1]GASTOS 2026'!$A:$A,K$2,'[1]GASTOS 2026'!$D:$D,$A119)</f>
        <v>0</v>
      </c>
      <c r="L119" s="13">
        <f ca="1">SUMIFS('[1]GASTOS 2026'!$F:$F,'[1]GASTOS 2026'!$A:$A,L$2,'[1]GASTOS 2026'!$D:$D,$A119)</f>
        <v>0</v>
      </c>
      <c r="M119" s="13">
        <f ca="1">SUMIFS('[1]GASTOS 2026'!$F:$F,'[1]GASTOS 2026'!$A:$A,M$2,'[1]GASTOS 2026'!$D:$D,$A119)</f>
        <v>0</v>
      </c>
      <c r="N119" s="12">
        <f ca="1">SUM(B119:M119)</f>
        <v>691459.78041999997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0"/>
      <c r="B120" s="11"/>
      <c r="C120" s="1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2" t="s">
        <v>4</v>
      </c>
      <c r="B121" s="12">
        <f ca="1">SUM(B119)</f>
        <v>691459.78041999997</v>
      </c>
      <c r="C121" s="12">
        <f ca="1">SUM(C119)</f>
        <v>0</v>
      </c>
      <c r="D121" s="12">
        <f ca="1">SUM(D119)</f>
        <v>0</v>
      </c>
      <c r="E121" s="12">
        <f ca="1">SUM(E119)</f>
        <v>0</v>
      </c>
      <c r="F121" s="12">
        <f ca="1">SUM(F119)</f>
        <v>0</v>
      </c>
      <c r="G121" s="12">
        <f ca="1">SUM(G119)</f>
        <v>0</v>
      </c>
      <c r="H121" s="12">
        <f ca="1">SUM(H119)</f>
        <v>0</v>
      </c>
      <c r="I121" s="12">
        <f ca="1">SUM(I119)</f>
        <v>0</v>
      </c>
      <c r="J121" s="12">
        <f ca="1">SUM(J119)</f>
        <v>0</v>
      </c>
      <c r="K121" s="12">
        <f ca="1">SUM(K119)</f>
        <v>0</v>
      </c>
      <c r="L121" s="12">
        <f ca="1">SUM(L119)</f>
        <v>0</v>
      </c>
      <c r="M121" s="12">
        <f ca="1">SUM(M119)</f>
        <v>0</v>
      </c>
      <c r="N121" s="12">
        <f ca="1">SUM(N119)</f>
        <v>691459.78041999997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2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2" t="s">
        <v>3</v>
      </c>
      <c r="B123" s="13">
        <f ca="1">SUMIFS('[1]GASTOS 2026'!$F:$F,'[1]GASTOS 2026'!$A:$A,B$2,'[1]GASTOS 2026'!$D:$D,$A123)</f>
        <v>0</v>
      </c>
      <c r="C123" s="13">
        <f ca="1">SUMIFS('[1]GASTOS 2026'!$F:$F,'[1]GASTOS 2026'!$A:$A,C$2,'[1]GASTOS 2026'!$D:$D,$A123)</f>
        <v>0</v>
      </c>
      <c r="D123" s="13">
        <f ca="1">SUMIFS('[1]GASTOS 2026'!$F:$F,'[1]GASTOS 2026'!$A:$A,D$2,'[1]GASTOS 2026'!$D:$D,$A123)</f>
        <v>0</v>
      </c>
      <c r="E123" s="13">
        <f ca="1">SUMIFS('[1]GASTOS 2026'!$F:$F,'[1]GASTOS 2026'!$A:$A,E$2,'[1]GASTOS 2026'!$D:$D,$A123)</f>
        <v>0</v>
      </c>
      <c r="F123" s="13">
        <f ca="1">SUMIFS('[1]GASTOS 2026'!$F:$F,'[1]GASTOS 2026'!$A:$A,F$2,'[1]GASTOS 2026'!$D:$D,$A123)</f>
        <v>0</v>
      </c>
      <c r="G123" s="13">
        <f ca="1">SUMIFS('[1]GASTOS 2026'!$F:$F,'[1]GASTOS 2026'!$A:$A,G$2,'[1]GASTOS 2026'!$D:$D,$A123)</f>
        <v>0</v>
      </c>
      <c r="H123" s="13">
        <f ca="1">SUMIFS('[1]GASTOS 2026'!$F:$F,'[1]GASTOS 2026'!$A:$A,H$2,'[1]GASTOS 2026'!$D:$D,$A123)</f>
        <v>0</v>
      </c>
      <c r="I123" s="13">
        <f ca="1">SUMIFS('[1]GASTOS 2026'!$F:$F,'[1]GASTOS 2026'!$A:$A,I$2,'[1]GASTOS 2026'!$D:$D,$A123)</f>
        <v>0</v>
      </c>
      <c r="J123" s="13">
        <f ca="1">SUMIFS('[1]GASTOS 2026'!$F:$F,'[1]GASTOS 2026'!$A:$A,J$2,'[1]GASTOS 2026'!$D:$D,$A123)</f>
        <v>0</v>
      </c>
      <c r="K123" s="13">
        <f ca="1">SUMIFS('[1]GASTOS 2026'!$F:$F,'[1]GASTOS 2026'!$A:$A,K$2,'[1]GASTOS 2026'!$D:$D,$A123)</f>
        <v>0</v>
      </c>
      <c r="L123" s="13">
        <f ca="1">SUMIFS('[1]GASTOS 2026'!$F:$F,'[1]GASTOS 2026'!$A:$A,L$2,'[1]GASTOS 2026'!$D:$D,$A123)</f>
        <v>0</v>
      </c>
      <c r="M123" s="13">
        <f ca="1">SUMIFS('[1]GASTOS 2026'!$F:$F,'[1]GASTOS 2026'!$A:$A,M$2,'[1]GASTOS 2026'!$D:$D,$A123)</f>
        <v>0</v>
      </c>
      <c r="N123" s="12">
        <f ca="1">SUM(B123:M123)</f>
        <v>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0"/>
      <c r="B124" s="11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9" t="s">
        <v>2</v>
      </c>
      <c r="B125" s="8">
        <f ca="1">B115-B119-B123</f>
        <v>1544145.106660642</v>
      </c>
      <c r="C125" s="8">
        <f ca="1">C115-C119-C123</f>
        <v>0</v>
      </c>
      <c r="D125" s="8">
        <f ca="1">D115-D119-D123</f>
        <v>0</v>
      </c>
      <c r="E125" s="8">
        <f ca="1">E115-E119-E123</f>
        <v>0</v>
      </c>
      <c r="F125" s="8">
        <f ca="1">F115-F119-F123</f>
        <v>0</v>
      </c>
      <c r="G125" s="8">
        <f ca="1">G115-G119-G123</f>
        <v>0</v>
      </c>
      <c r="H125" s="8">
        <f ca="1">H115-H119-H123</f>
        <v>0</v>
      </c>
      <c r="I125" s="8">
        <f ca="1">I115-I119-I123</f>
        <v>0</v>
      </c>
      <c r="J125" s="8">
        <f ca="1">J115-J119-J123</f>
        <v>0</v>
      </c>
      <c r="K125" s="8">
        <f ca="1">K115-K119-K123</f>
        <v>0</v>
      </c>
      <c r="L125" s="8">
        <f ca="1">L115-L119-L123</f>
        <v>0</v>
      </c>
      <c r="M125" s="8">
        <f ca="1">M115-M119-M123</f>
        <v>0</v>
      </c>
      <c r="N125" s="8">
        <f ca="1">N115-N119-N123</f>
        <v>1544145.106660642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7" t="s">
        <v>1</v>
      </c>
      <c r="B126" s="6">
        <f ca="1">IFERROR(B125/B50,0)</f>
        <v>0.1718315141146898</v>
      </c>
      <c r="C126" s="6">
        <f ca="1">IFERROR(C125/C50,0)</f>
        <v>0</v>
      </c>
      <c r="D126" s="6">
        <f ca="1">IFERROR(D125/D50,0)</f>
        <v>0</v>
      </c>
      <c r="E126" s="6">
        <f ca="1">IFERROR(E125/E50,0)</f>
        <v>0</v>
      </c>
      <c r="F126" s="6">
        <f ca="1">IFERROR(F125/F50,0)</f>
        <v>0</v>
      </c>
      <c r="G126" s="6">
        <f ca="1">IFERROR(G125/G50,0)</f>
        <v>0</v>
      </c>
      <c r="H126" s="6">
        <f ca="1">IFERROR(H125/H50,0)</f>
        <v>0</v>
      </c>
      <c r="I126" s="6">
        <f ca="1">IFERROR(I125/I50,0)</f>
        <v>0</v>
      </c>
      <c r="J126" s="6">
        <f ca="1">IFERROR(J125/J50,0)</f>
        <v>0</v>
      </c>
      <c r="K126" s="6">
        <f ca="1">IFERROR(K125/K50,0)</f>
        <v>0</v>
      </c>
      <c r="L126" s="6">
        <f ca="1">IFERROR(L125/L50,0)</f>
        <v>0</v>
      </c>
      <c r="M126" s="6">
        <f ca="1">IFERROR(M125/M50,0)</f>
        <v>0</v>
      </c>
      <c r="N126" s="6">
        <f ca="1">IFERROR(N125/N50,0)</f>
        <v>0.1718315141146898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2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2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2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2"/>
      <c r="B130" s="3"/>
      <c r="C130" s="3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2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2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2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2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2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2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2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2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2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2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2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2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2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2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2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2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2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2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2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2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2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2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2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2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2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2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3" t="s">
        <v>0</v>
      </c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2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2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2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2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2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2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2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2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2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2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2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2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2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2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2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2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2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2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2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2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2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2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2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2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2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2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2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2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2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2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2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2"/>
      <c r="B189" s="3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2"/>
      <c r="B190" s="3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2"/>
      <c r="B191" s="3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2"/>
      <c r="B192" s="3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2"/>
      <c r="B193" s="3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2"/>
      <c r="B194" s="3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2"/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2"/>
      <c r="B196" s="3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2"/>
      <c r="B197" s="3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2"/>
      <c r="B198" s="3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2"/>
      <c r="B199" s="3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2"/>
      <c r="B200" s="3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2"/>
      <c r="B201" s="3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2"/>
      <c r="B202" s="3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2"/>
      <c r="B203" s="3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2"/>
      <c r="B204" s="3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2"/>
      <c r="B205" s="3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2"/>
      <c r="B206" s="3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2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2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2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2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2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2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2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2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2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2"/>
      <c r="B216" s="3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2"/>
      <c r="B217" s="3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2"/>
      <c r="B218" s="3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2"/>
      <c r="B219" s="3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2"/>
      <c r="B220" s="3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2"/>
      <c r="B221" s="3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2"/>
      <c r="B222" s="3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2"/>
      <c r="B223" s="3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2"/>
      <c r="B224" s="3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2"/>
      <c r="B225" s="3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2"/>
      <c r="B226" s="3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2"/>
      <c r="B227" s="3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2"/>
      <c r="B228" s="3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2"/>
      <c r="B229" s="3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2"/>
      <c r="B230" s="3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2"/>
      <c r="B231" s="3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2"/>
      <c r="B254" s="3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2"/>
      <c r="B255" s="3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2"/>
      <c r="B256" s="3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2"/>
      <c r="B257" s="3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2"/>
      <c r="B258" s="3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2"/>
      <c r="B259" s="3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2"/>
      <c r="B260" s="3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2"/>
      <c r="B261" s="3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2"/>
      <c r="B262" s="3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2"/>
      <c r="B263" s="3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2"/>
      <c r="B264" s="3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2"/>
      <c r="B265" s="3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2"/>
      <c r="B266" s="3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2"/>
      <c r="B267" s="3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2"/>
      <c r="B268" s="3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2"/>
      <c r="B269" s="3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2"/>
      <c r="B270" s="3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2"/>
      <c r="B271" s="3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2"/>
      <c r="B272" s="3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2"/>
      <c r="B273" s="3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2"/>
      <c r="B274" s="3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2"/>
      <c r="B275" s="3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2"/>
      <c r="B276" s="3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2"/>
      <c r="B277" s="3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2"/>
      <c r="B278" s="3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2"/>
      <c r="B279" s="3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2"/>
      <c r="B280" s="3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2"/>
      <c r="B281" s="3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2"/>
      <c r="B282" s="3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2"/>
      <c r="B283" s="3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2"/>
      <c r="B284" s="3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2"/>
      <c r="B285" s="3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2"/>
      <c r="B286" s="3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2"/>
      <c r="B287" s="3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2"/>
      <c r="B288" s="3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2"/>
      <c r="B289" s="3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2"/>
      <c r="B290" s="3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2"/>
      <c r="B291" s="3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2"/>
      <c r="B292" s="3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2"/>
      <c r="B293" s="3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2"/>
      <c r="B294" s="3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2"/>
      <c r="B295" s="3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2"/>
      <c r="B296" s="3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2"/>
      <c r="B297" s="3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2"/>
      <c r="B298" s="3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2"/>
      <c r="B299" s="3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2"/>
      <c r="B300" s="3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2"/>
      <c r="B301" s="3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2"/>
      <c r="B302" s="3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2"/>
      <c r="B303" s="3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2"/>
      <c r="B304" s="3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2"/>
      <c r="B305" s="3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2"/>
      <c r="B306" s="3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2"/>
      <c r="B307" s="3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2"/>
      <c r="B308" s="3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2"/>
      <c r="B309" s="3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2"/>
      <c r="B310" s="3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2"/>
      <c r="B311" s="3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2"/>
      <c r="B312" s="3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2"/>
      <c r="B313" s="3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2"/>
      <c r="B314" s="3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2"/>
      <c r="B315" s="3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2"/>
      <c r="B316" s="3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2"/>
      <c r="B317" s="3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2"/>
      <c r="B318" s="3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2"/>
      <c r="B319" s="3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2"/>
      <c r="B320" s="3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2"/>
      <c r="B321" s="3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2"/>
      <c r="B322" s="3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2"/>
      <c r="B323" s="3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2"/>
      <c r="B324" s="3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2"/>
      <c r="B325" s="3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2"/>
      <c r="B326" s="3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2"/>
      <c r="B327" s="3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2"/>
      <c r="B328" s="3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2"/>
      <c r="B329" s="3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2"/>
      <c r="B330" s="3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2"/>
      <c r="B331" s="3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2"/>
      <c r="B332" s="3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2"/>
      <c r="B333" s="3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2"/>
      <c r="B334" s="3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2"/>
      <c r="B335" s="3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2"/>
      <c r="B336" s="3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2"/>
      <c r="B337" s="3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2"/>
      <c r="B338" s="3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2"/>
      <c r="B339" s="3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2"/>
      <c r="B340" s="3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2"/>
      <c r="B341" s="3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2"/>
      <c r="B342" s="3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2"/>
      <c r="B343" s="3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2"/>
      <c r="B344" s="3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2"/>
      <c r="B345" s="3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2"/>
      <c r="B346" s="3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2"/>
      <c r="B347" s="3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2"/>
      <c r="B348" s="3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2"/>
      <c r="B349" s="3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2"/>
      <c r="B350" s="3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2"/>
      <c r="B351" s="3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2"/>
      <c r="B352" s="3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2"/>
      <c r="B353" s="3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2"/>
      <c r="B354" s="3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2"/>
      <c r="B355" s="3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2"/>
      <c r="B356" s="3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2"/>
      <c r="B357" s="3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2"/>
      <c r="B358" s="3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2"/>
      <c r="B359" s="3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2"/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2"/>
      <c r="B361" s="3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2"/>
      <c r="B362" s="3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2"/>
      <c r="B363" s="3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2"/>
      <c r="B364" s="3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2"/>
      <c r="B365" s="3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2"/>
      <c r="B366" s="3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2"/>
      <c r="B367" s="3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2"/>
      <c r="B368" s="3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2"/>
      <c r="B369" s="3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2"/>
      <c r="B370" s="3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2"/>
      <c r="B371" s="3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2"/>
      <c r="B372" s="3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2"/>
      <c r="B373" s="3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2"/>
      <c r="B374" s="3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2"/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2"/>
      <c r="B376" s="3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2"/>
      <c r="B377" s="3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2"/>
      <c r="B378" s="3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2"/>
      <c r="B379" s="3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2"/>
      <c r="B380" s="3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2"/>
      <c r="B381" s="3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2"/>
      <c r="B382" s="3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2"/>
      <c r="B383" s="3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2"/>
      <c r="B384" s="3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2"/>
      <c r="B385" s="3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2"/>
      <c r="B386" s="3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2"/>
      <c r="B387" s="3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2"/>
      <c r="B388" s="3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2"/>
      <c r="B389" s="3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2"/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2"/>
      <c r="B391" s="3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2"/>
      <c r="B392" s="3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2"/>
      <c r="B393" s="3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2"/>
      <c r="B394" s="3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2"/>
      <c r="B395" s="3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2"/>
      <c r="B396" s="3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2"/>
      <c r="B397" s="3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2"/>
      <c r="B398" s="3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2"/>
      <c r="B399" s="3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2"/>
      <c r="B400" s="3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2"/>
      <c r="B401" s="3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2"/>
      <c r="B402" s="3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2"/>
      <c r="B403" s="3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2"/>
      <c r="B404" s="3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2"/>
      <c r="B405" s="3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2"/>
      <c r="B406" s="3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2"/>
      <c r="B407" s="3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2"/>
      <c r="B408" s="3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2"/>
      <c r="B409" s="3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2"/>
      <c r="B410" s="3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2"/>
      <c r="B411" s="3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2"/>
      <c r="B412" s="3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2"/>
      <c r="B413" s="3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2"/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2"/>
      <c r="B415" s="3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2"/>
      <c r="B416" s="3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2"/>
      <c r="B417" s="3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2"/>
      <c r="B418" s="3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2"/>
      <c r="B419" s="3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2"/>
      <c r="B420" s="3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2"/>
      <c r="B421" s="3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2"/>
      <c r="B422" s="3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2"/>
      <c r="B423" s="3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2"/>
      <c r="B424" s="3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2"/>
      <c r="B425" s="3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2"/>
      <c r="B426" s="3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2"/>
      <c r="B427" s="3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2"/>
      <c r="B428" s="3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2"/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2"/>
      <c r="B430" s="3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2"/>
      <c r="B431" s="3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2"/>
      <c r="B432" s="3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2"/>
      <c r="B433" s="3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2"/>
      <c r="B434" s="3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2"/>
      <c r="B435" s="3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2"/>
      <c r="B436" s="3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2"/>
      <c r="B437" s="3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2"/>
      <c r="B438" s="3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2"/>
      <c r="B439" s="3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2"/>
      <c r="B440" s="3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2"/>
      <c r="B441" s="3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2"/>
      <c r="B442" s="3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2"/>
      <c r="B443" s="3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2"/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2"/>
      <c r="B445" s="3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2"/>
      <c r="B446" s="3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2"/>
      <c r="B447" s="3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2"/>
      <c r="B448" s="3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2"/>
      <c r="B449" s="3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2"/>
      <c r="B450" s="3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2"/>
      <c r="B451" s="3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2"/>
      <c r="B452" s="3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2"/>
      <c r="B453" s="3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2"/>
      <c r="B454" s="3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2"/>
      <c r="B455" s="3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2"/>
      <c r="B456" s="3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2"/>
      <c r="B457" s="3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2"/>
      <c r="B458" s="3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2"/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2"/>
      <c r="B460" s="3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2"/>
      <c r="B461" s="3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2"/>
      <c r="B462" s="3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2"/>
      <c r="B463" s="3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2"/>
      <c r="B464" s="3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2"/>
      <c r="B465" s="3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2"/>
      <c r="B466" s="3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2"/>
      <c r="B467" s="3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2"/>
      <c r="B468" s="3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2"/>
      <c r="B469" s="3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2"/>
      <c r="B470" s="3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2"/>
      <c r="B471" s="3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2"/>
      <c r="B472" s="3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2"/>
      <c r="B473" s="3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2"/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2"/>
      <c r="B475" s="3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2"/>
      <c r="B476" s="3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2"/>
      <c r="B477" s="3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2"/>
      <c r="B478" s="3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2"/>
      <c r="B479" s="3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2"/>
      <c r="B480" s="3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2"/>
      <c r="B481" s="3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2"/>
      <c r="B482" s="3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2"/>
      <c r="B483" s="3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2"/>
      <c r="B484" s="3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2"/>
      <c r="B485" s="3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2"/>
      <c r="B486" s="3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2"/>
      <c r="B487" s="3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2"/>
      <c r="B488" s="3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2"/>
      <c r="B489" s="3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2"/>
      <c r="B490" s="3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2"/>
      <c r="B491" s="3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2"/>
      <c r="B492" s="3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2"/>
      <c r="B493" s="3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2"/>
      <c r="B494" s="3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2"/>
      <c r="B495" s="3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2"/>
      <c r="B496" s="3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2"/>
      <c r="B497" s="3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2"/>
      <c r="B498" s="3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2"/>
      <c r="B499" s="3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2"/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2"/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2"/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2"/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2"/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2"/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2"/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2"/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2"/>
      <c r="B508" s="3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2"/>
      <c r="B509" s="3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2"/>
      <c r="B510" s="3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2"/>
      <c r="B511" s="3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2"/>
      <c r="B512" s="3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2"/>
      <c r="B513" s="3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2"/>
      <c r="B514" s="3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2"/>
      <c r="B515" s="3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2"/>
      <c r="B516" s="3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2"/>
      <c r="B517" s="3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2"/>
      <c r="B518" s="3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2"/>
      <c r="B519" s="3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2"/>
      <c r="B520" s="3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2"/>
      <c r="B521" s="3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2"/>
      <c r="B522" s="3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2"/>
      <c r="B523" s="3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2"/>
      <c r="B524" s="3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2"/>
      <c r="B525" s="3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2"/>
      <c r="B526" s="3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2"/>
      <c r="B527" s="3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2"/>
      <c r="B528" s="3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2"/>
      <c r="B529" s="3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2"/>
      <c r="B530" s="3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2"/>
      <c r="B531" s="3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2"/>
      <c r="B532" s="3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2"/>
      <c r="B533" s="3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2"/>
      <c r="B534" s="3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2"/>
      <c r="B535" s="3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2"/>
      <c r="B536" s="3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2"/>
      <c r="B537" s="3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2"/>
      <c r="B538" s="3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2"/>
      <c r="B539" s="3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2"/>
      <c r="B540" s="3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2"/>
      <c r="B541" s="3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2"/>
      <c r="B542" s="3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2"/>
      <c r="B543" s="3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2"/>
      <c r="B544" s="3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2"/>
      <c r="B545" s="3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2"/>
      <c r="B546" s="3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2"/>
      <c r="B547" s="3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2"/>
      <c r="B548" s="3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2"/>
      <c r="B549" s="3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2"/>
      <c r="B550" s="3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2"/>
      <c r="B551" s="3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2"/>
      <c r="B552" s="3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2"/>
      <c r="B553" s="3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2"/>
      <c r="B554" s="3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2"/>
      <c r="B555" s="3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2"/>
      <c r="B556" s="3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2"/>
      <c r="B557" s="3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2"/>
      <c r="B558" s="3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2"/>
      <c r="B559" s="3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2"/>
      <c r="B560" s="3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2"/>
      <c r="B561" s="3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2"/>
      <c r="B562" s="3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2"/>
      <c r="B563" s="3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2"/>
      <c r="B564" s="3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2"/>
      <c r="B565" s="3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2"/>
      <c r="B566" s="3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2"/>
      <c r="B567" s="3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2"/>
      <c r="B568" s="3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2"/>
      <c r="B569" s="3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2"/>
      <c r="B570" s="3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2"/>
      <c r="B571" s="3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2"/>
      <c r="B572" s="3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2"/>
      <c r="B573" s="3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2"/>
      <c r="B574" s="3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2"/>
      <c r="B575" s="3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2"/>
      <c r="B576" s="3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2"/>
      <c r="B577" s="3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2"/>
      <c r="B578" s="3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2"/>
      <c r="B579" s="3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2"/>
      <c r="B580" s="3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2"/>
      <c r="B581" s="3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2"/>
      <c r="B582" s="3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2"/>
      <c r="B583" s="3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2"/>
      <c r="B584" s="3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2"/>
      <c r="B585" s="3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2"/>
      <c r="B586" s="3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2"/>
      <c r="B587" s="3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2"/>
      <c r="B588" s="3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2"/>
      <c r="B589" s="3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2"/>
      <c r="B590" s="3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2"/>
      <c r="B591" s="3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2"/>
      <c r="B592" s="3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2"/>
      <c r="B593" s="3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2"/>
      <c r="B594" s="3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2"/>
      <c r="B595" s="3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2"/>
      <c r="B596" s="3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2"/>
      <c r="B597" s="3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2"/>
      <c r="B598" s="3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2"/>
      <c r="B599" s="3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2"/>
      <c r="B600" s="3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2"/>
      <c r="B601" s="3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2"/>
      <c r="B602" s="3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2"/>
      <c r="B603" s="3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2"/>
      <c r="B604" s="3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2"/>
      <c r="B605" s="3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2"/>
      <c r="B606" s="3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2"/>
      <c r="B607" s="3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2"/>
      <c r="B608" s="3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2"/>
      <c r="B609" s="3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2"/>
      <c r="B610" s="3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2"/>
      <c r="B611" s="3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2"/>
      <c r="B612" s="3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2"/>
      <c r="B613" s="3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2"/>
      <c r="B614" s="3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2"/>
      <c r="B615" s="3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2"/>
      <c r="B616" s="3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2"/>
      <c r="B617" s="3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2"/>
      <c r="B618" s="3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2"/>
      <c r="B619" s="3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2"/>
      <c r="B620" s="3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2"/>
      <c r="B621" s="3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2"/>
      <c r="B622" s="3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2"/>
      <c r="B623" s="3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2"/>
      <c r="B624" s="3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2"/>
      <c r="B625" s="3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2"/>
      <c r="B626" s="3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2"/>
      <c r="B627" s="3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2"/>
      <c r="B628" s="3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2"/>
      <c r="B629" s="3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2"/>
      <c r="B630" s="3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2"/>
      <c r="B631" s="3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2"/>
      <c r="B632" s="3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2"/>
      <c r="B633" s="3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2"/>
      <c r="B634" s="3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2"/>
      <c r="B635" s="3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2"/>
      <c r="B636" s="3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2"/>
      <c r="B637" s="3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2"/>
      <c r="B638" s="3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2"/>
      <c r="B639" s="3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2"/>
      <c r="B640" s="3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2"/>
      <c r="B641" s="3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2"/>
      <c r="B642" s="3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2"/>
      <c r="B643" s="3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2"/>
      <c r="B644" s="3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2"/>
      <c r="B645" s="3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2"/>
      <c r="B646" s="3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2"/>
      <c r="B647" s="3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2"/>
      <c r="B648" s="3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2"/>
      <c r="B649" s="3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2"/>
      <c r="B650" s="3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2"/>
      <c r="B651" s="3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2"/>
      <c r="B652" s="3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2"/>
      <c r="B653" s="3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2"/>
      <c r="B654" s="3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2"/>
      <c r="B655" s="3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2"/>
      <c r="B656" s="3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2"/>
      <c r="B657" s="3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2"/>
      <c r="B658" s="3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2"/>
      <c r="B659" s="3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2"/>
      <c r="B660" s="3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2"/>
      <c r="B661" s="3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2"/>
      <c r="B662" s="3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2"/>
      <c r="B663" s="3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2"/>
      <c r="B664" s="3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2"/>
      <c r="B665" s="3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2"/>
      <c r="B666" s="3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2"/>
      <c r="B667" s="3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2"/>
      <c r="B668" s="3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2"/>
      <c r="B669" s="3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2"/>
      <c r="B670" s="3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2"/>
      <c r="B671" s="3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2"/>
      <c r="B672" s="3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2"/>
      <c r="B673" s="3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2"/>
      <c r="B674" s="3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2"/>
      <c r="B675" s="3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2"/>
      <c r="B676" s="3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2"/>
      <c r="B677" s="3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2"/>
      <c r="B678" s="3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2"/>
      <c r="B679" s="3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2"/>
      <c r="B680" s="3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2"/>
      <c r="B681" s="3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2"/>
      <c r="B682" s="3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2"/>
      <c r="B683" s="3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2"/>
      <c r="B684" s="3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2"/>
      <c r="B685" s="3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2"/>
      <c r="B686" s="3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2"/>
      <c r="B687" s="3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2"/>
      <c r="B688" s="3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2"/>
      <c r="B689" s="3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2"/>
      <c r="B690" s="3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2"/>
      <c r="B691" s="3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2"/>
      <c r="B692" s="3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2"/>
      <c r="B693" s="3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2"/>
      <c r="B694" s="3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2"/>
      <c r="B695" s="3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2"/>
      <c r="B696" s="3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2"/>
      <c r="B697" s="3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2"/>
      <c r="B698" s="3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2"/>
      <c r="B699" s="3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2"/>
      <c r="B700" s="3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2"/>
      <c r="B701" s="3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2"/>
      <c r="B702" s="3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2"/>
      <c r="B703" s="3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2"/>
      <c r="B704" s="3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2"/>
      <c r="B705" s="3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2"/>
      <c r="B706" s="3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2"/>
      <c r="B707" s="3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2"/>
      <c r="B708" s="3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2"/>
      <c r="B709" s="3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2"/>
      <c r="B710" s="3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2"/>
      <c r="B711" s="3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2"/>
      <c r="B712" s="3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2"/>
      <c r="B713" s="3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2"/>
      <c r="B714" s="3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2"/>
      <c r="B715" s="3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2"/>
      <c r="B716" s="3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2"/>
      <c r="B717" s="3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2"/>
      <c r="B718" s="3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2"/>
      <c r="B719" s="3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2"/>
      <c r="B720" s="3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2"/>
      <c r="B721" s="3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2"/>
      <c r="B722" s="3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2"/>
      <c r="B723" s="3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2"/>
      <c r="B724" s="3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2"/>
      <c r="B725" s="3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2"/>
      <c r="B726" s="3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2"/>
      <c r="B727" s="3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2"/>
      <c r="B728" s="3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2"/>
      <c r="B729" s="3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2"/>
      <c r="B730" s="3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2"/>
      <c r="B731" s="3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2"/>
      <c r="B732" s="3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2"/>
      <c r="B733" s="3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2"/>
      <c r="B734" s="3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2"/>
      <c r="B735" s="3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2"/>
      <c r="B736" s="3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2"/>
      <c r="B737" s="3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2"/>
      <c r="B738" s="3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2"/>
      <c r="B739" s="3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2"/>
      <c r="B740" s="3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2"/>
      <c r="B741" s="3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2"/>
      <c r="B742" s="3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2"/>
      <c r="B743" s="3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2"/>
      <c r="B744" s="3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2"/>
      <c r="B745" s="3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2"/>
      <c r="B746" s="3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2"/>
      <c r="B747" s="3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2"/>
      <c r="B748" s="3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2"/>
      <c r="B749" s="3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2"/>
      <c r="B750" s="3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2"/>
      <c r="B751" s="3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2"/>
      <c r="B752" s="3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2"/>
      <c r="B753" s="3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2"/>
      <c r="B754" s="3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2"/>
      <c r="B755" s="3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2"/>
      <c r="B756" s="3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2"/>
      <c r="B757" s="3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2"/>
      <c r="B758" s="3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2"/>
      <c r="B759" s="3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2"/>
      <c r="B760" s="3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2"/>
      <c r="B761" s="3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2"/>
      <c r="B762" s="3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2"/>
      <c r="B763" s="3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2"/>
      <c r="B764" s="3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2"/>
      <c r="B765" s="3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2"/>
      <c r="B766" s="3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2"/>
      <c r="B767" s="3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2"/>
      <c r="B768" s="3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2"/>
      <c r="B769" s="3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2"/>
      <c r="B770" s="3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2"/>
      <c r="B771" s="3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2"/>
      <c r="B772" s="3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2"/>
      <c r="B773" s="3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2"/>
      <c r="B774" s="3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2"/>
      <c r="B775" s="3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2"/>
      <c r="B776" s="3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2"/>
      <c r="B777" s="3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2"/>
      <c r="B778" s="3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2"/>
      <c r="B779" s="3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2"/>
      <c r="B780" s="3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2"/>
      <c r="B781" s="3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2"/>
      <c r="B782" s="3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2"/>
      <c r="B783" s="3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2"/>
      <c r="B784" s="3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2"/>
      <c r="B785" s="3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2"/>
      <c r="B786" s="3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2"/>
      <c r="B787" s="3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2"/>
      <c r="B788" s="3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2"/>
      <c r="B789" s="3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2"/>
      <c r="B790" s="3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2"/>
      <c r="B791" s="3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2"/>
      <c r="B792" s="3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2"/>
      <c r="B793" s="3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2"/>
      <c r="B794" s="3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2"/>
      <c r="B795" s="3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2"/>
      <c r="B796" s="3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2"/>
      <c r="B797" s="3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2"/>
      <c r="B798" s="3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2"/>
      <c r="B799" s="3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2"/>
      <c r="B800" s="3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2"/>
      <c r="B801" s="3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2"/>
      <c r="B802" s="3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2"/>
      <c r="B803" s="3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2"/>
      <c r="B804" s="3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2"/>
      <c r="B805" s="3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2"/>
      <c r="B806" s="3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2"/>
      <c r="B807" s="3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2"/>
      <c r="B808" s="3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2"/>
      <c r="B809" s="3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2"/>
      <c r="B810" s="3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2"/>
      <c r="B811" s="3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2"/>
      <c r="B812" s="3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2"/>
      <c r="B813" s="3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2"/>
      <c r="B814" s="3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2"/>
      <c r="B815" s="3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2"/>
      <c r="B816" s="3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2"/>
      <c r="B817" s="3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2"/>
      <c r="B818" s="3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2"/>
      <c r="B819" s="3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2"/>
      <c r="B820" s="3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2"/>
      <c r="B821" s="3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2"/>
      <c r="B822" s="3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2"/>
      <c r="B823" s="3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2"/>
      <c r="B824" s="3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2"/>
      <c r="B825" s="3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2"/>
      <c r="B826" s="3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2"/>
      <c r="B827" s="3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2"/>
      <c r="B828" s="3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2"/>
      <c r="B829" s="3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2"/>
      <c r="B830" s="3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2"/>
      <c r="B831" s="3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2"/>
      <c r="B832" s="3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2"/>
      <c r="B833" s="3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2"/>
      <c r="B834" s="3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2"/>
      <c r="B835" s="3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2"/>
      <c r="B836" s="3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2"/>
      <c r="B837" s="3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2"/>
      <c r="B838" s="3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2"/>
      <c r="B839" s="3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2"/>
      <c r="B840" s="3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2"/>
      <c r="B841" s="3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2"/>
      <c r="B842" s="3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2"/>
      <c r="B843" s="3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2"/>
      <c r="B844" s="3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2"/>
      <c r="B845" s="3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2"/>
      <c r="B846" s="3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2"/>
      <c r="B847" s="3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2"/>
      <c r="B848" s="3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2"/>
      <c r="B849" s="3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2"/>
      <c r="B850" s="3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2"/>
      <c r="B851" s="3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2"/>
      <c r="B852" s="3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2"/>
      <c r="B853" s="3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2"/>
      <c r="B854" s="3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2"/>
      <c r="B855" s="3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2"/>
      <c r="B856" s="3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2"/>
      <c r="B857" s="3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2"/>
      <c r="B858" s="3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2"/>
      <c r="B859" s="3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2"/>
      <c r="B860" s="3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2"/>
      <c r="B861" s="3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2"/>
      <c r="B862" s="3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2"/>
      <c r="B863" s="3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2"/>
      <c r="B864" s="3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2"/>
      <c r="B865" s="3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2"/>
      <c r="B866" s="3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2"/>
      <c r="B867" s="3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2"/>
      <c r="B868" s="3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2"/>
      <c r="B869" s="3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2"/>
      <c r="B870" s="3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2"/>
      <c r="B871" s="3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2"/>
      <c r="B872" s="3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2"/>
      <c r="B873" s="3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2"/>
      <c r="B874" s="3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2"/>
      <c r="B875" s="3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2"/>
      <c r="B876" s="3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2"/>
      <c r="B877" s="3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2"/>
      <c r="B878" s="3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2"/>
      <c r="B879" s="3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2"/>
      <c r="B880" s="3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2"/>
      <c r="B881" s="3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2"/>
      <c r="B882" s="3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2"/>
      <c r="B883" s="3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2"/>
      <c r="B884" s="3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2"/>
      <c r="B885" s="3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2"/>
      <c r="B886" s="3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2"/>
      <c r="B887" s="3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2"/>
      <c r="B888" s="3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2"/>
      <c r="B889" s="3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2"/>
      <c r="B890" s="3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2"/>
      <c r="B891" s="3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2"/>
      <c r="B892" s="3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2"/>
      <c r="B893" s="3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2"/>
      <c r="B894" s="3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2"/>
      <c r="B895" s="3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2"/>
      <c r="B896" s="3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2"/>
      <c r="B897" s="3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2"/>
      <c r="B898" s="3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2"/>
      <c r="B899" s="3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2"/>
      <c r="B900" s="3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2"/>
      <c r="B901" s="3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2"/>
      <c r="B902" s="3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2"/>
      <c r="B903" s="3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2"/>
      <c r="B904" s="3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2"/>
      <c r="B905" s="3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2"/>
      <c r="B906" s="3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2"/>
      <c r="B907" s="3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2"/>
      <c r="B908" s="3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2"/>
      <c r="B909" s="3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2"/>
      <c r="B910" s="3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2"/>
      <c r="B911" s="3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2"/>
      <c r="B912" s="3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2"/>
      <c r="B913" s="3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2"/>
      <c r="B914" s="3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2"/>
      <c r="B915" s="3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2"/>
      <c r="B916" s="3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2"/>
      <c r="B917" s="3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2"/>
      <c r="B918" s="3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2"/>
      <c r="B919" s="3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2"/>
      <c r="B920" s="3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2"/>
      <c r="B921" s="3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2"/>
      <c r="B922" s="3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2"/>
      <c r="B923" s="3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2"/>
      <c r="B924" s="3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2"/>
      <c r="B925" s="3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2"/>
      <c r="B926" s="3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2"/>
      <c r="B927" s="3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2"/>
      <c r="B928" s="3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2"/>
      <c r="B929" s="3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2"/>
      <c r="B930" s="3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2"/>
      <c r="B931" s="3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2"/>
      <c r="B932" s="3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2"/>
      <c r="B933" s="3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2"/>
      <c r="B934" s="3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2"/>
      <c r="B935" s="3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2"/>
      <c r="B936" s="3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2"/>
      <c r="B937" s="3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2"/>
      <c r="B938" s="3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2"/>
      <c r="B939" s="3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2"/>
      <c r="B940" s="3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2"/>
      <c r="B941" s="3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2"/>
      <c r="B942" s="3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2"/>
      <c r="B943" s="3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2"/>
      <c r="B944" s="3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2"/>
      <c r="B945" s="3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2"/>
      <c r="B946" s="3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2"/>
      <c r="B947" s="3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2"/>
      <c r="B948" s="3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2"/>
      <c r="B949" s="3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2"/>
      <c r="B950" s="3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2"/>
      <c r="B951" s="3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2"/>
      <c r="B952" s="3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2"/>
      <c r="B953" s="3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2"/>
      <c r="B954" s="3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2"/>
      <c r="B955" s="3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2"/>
      <c r="B956" s="3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2"/>
      <c r="B957" s="3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2"/>
      <c r="B958" s="3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2"/>
      <c r="B959" s="3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2"/>
      <c r="B960" s="3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2"/>
      <c r="B961" s="3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2"/>
      <c r="B962" s="3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2"/>
      <c r="B963" s="3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2"/>
      <c r="B964" s="3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2"/>
      <c r="B965" s="3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2"/>
      <c r="B966" s="3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2"/>
      <c r="B967" s="3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2"/>
      <c r="B968" s="3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2"/>
      <c r="B969" s="3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2"/>
      <c r="B970" s="3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2"/>
      <c r="B971" s="3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2"/>
      <c r="B972" s="3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2"/>
      <c r="B973" s="3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2"/>
      <c r="B974" s="3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2"/>
      <c r="B975" s="3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2"/>
      <c r="B976" s="3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2"/>
      <c r="B977" s="3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2"/>
      <c r="B978" s="3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2"/>
      <c r="B979" s="3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2"/>
      <c r="B980" s="3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2"/>
      <c r="B981" s="3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2"/>
      <c r="B982" s="3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2"/>
      <c r="B983" s="3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2"/>
      <c r="B984" s="3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2"/>
      <c r="B985" s="3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2"/>
      <c r="B986" s="3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2"/>
      <c r="B987" s="3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2"/>
      <c r="B988" s="3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2"/>
      <c r="B989" s="3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2"/>
      <c r="B990" s="3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2"/>
      <c r="B991" s="3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2"/>
      <c r="B992" s="3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2"/>
      <c r="B993" s="3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2"/>
      <c r="B994" s="3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2"/>
      <c r="B995" s="3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2"/>
      <c r="B996" s="3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2"/>
      <c r="B997" s="3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2"/>
      <c r="B998" s="3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2"/>
      <c r="B999" s="3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2"/>
      <c r="B1000" s="3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2"/>
      <c r="B1001" s="3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2"/>
      <c r="B1002" s="3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2"/>
      <c r="B1003" s="3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2"/>
      <c r="B1004" s="3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2"/>
      <c r="B1005" s="3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x14ac:dyDescent="0.2">
      <c r="A1006" s="2"/>
      <c r="B1006" s="3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x14ac:dyDescent="0.2">
      <c r="A1007" s="2"/>
      <c r="B1007" s="3"/>
      <c r="C1007" s="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x14ac:dyDescent="0.2">
      <c r="A1008" s="2"/>
      <c r="B1008" s="3"/>
      <c r="C1008" s="3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x14ac:dyDescent="0.2">
      <c r="A1009" s="2"/>
      <c r="B1009" s="3"/>
      <c r="C1009" s="3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x14ac:dyDescent="0.2">
      <c r="A1010" s="2"/>
      <c r="B1010" s="3"/>
      <c r="C1010" s="3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x14ac:dyDescent="0.2">
      <c r="A1011" s="2"/>
      <c r="B1011" s="3"/>
      <c r="C1011" s="3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x14ac:dyDescent="0.2">
      <c r="A1012" s="2"/>
      <c r="B1012" s="3"/>
      <c r="C1012" s="3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x14ac:dyDescent="0.2">
      <c r="A1013" s="2"/>
      <c r="B1013" s="3"/>
      <c r="C1013" s="3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x14ac:dyDescent="0.2">
      <c r="A1014" s="2"/>
      <c r="B1014" s="3"/>
      <c r="C1014" s="3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x14ac:dyDescent="0.2">
      <c r="A1015" s="2"/>
      <c r="B1015" s="3"/>
      <c r="C1015" s="3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x14ac:dyDescent="0.2">
      <c r="A1016" s="2"/>
      <c r="B1016" s="3"/>
      <c r="C1016" s="3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x14ac:dyDescent="0.2">
      <c r="A1017" s="2"/>
      <c r="B1017" s="3"/>
      <c r="C1017" s="3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x14ac:dyDescent="0.2">
      <c r="A1018" s="2"/>
      <c r="B1018" s="3"/>
      <c r="C1018" s="3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x14ac:dyDescent="0.2">
      <c r="A1019" s="2"/>
      <c r="B1019" s="3"/>
      <c r="C1019" s="3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x14ac:dyDescent="0.2">
      <c r="A1020" s="2"/>
      <c r="B1020" s="3"/>
      <c r="C1020" s="3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x14ac:dyDescent="0.2">
      <c r="A1021" s="2"/>
      <c r="B1021" s="3"/>
      <c r="C1021" s="3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x14ac:dyDescent="0.2">
      <c r="A1022" s="2"/>
      <c r="B1022" s="3"/>
      <c r="C1022" s="3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x14ac:dyDescent="0.2">
      <c r="A1023" s="2"/>
      <c r="B1023" s="3"/>
      <c r="C1023" s="3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x14ac:dyDescent="0.2">
      <c r="A1024" s="2"/>
      <c r="B1024" s="3"/>
      <c r="C1024" s="3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x14ac:dyDescent="0.2">
      <c r="A1025" s="2"/>
      <c r="B1025" s="3"/>
      <c r="C1025" s="3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x14ac:dyDescent="0.2">
      <c r="A1026" s="2"/>
      <c r="B1026" s="3"/>
      <c r="C1026" s="3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x14ac:dyDescent="0.2">
      <c r="A1027" s="2"/>
      <c r="B1027" s="3"/>
      <c r="C1027" s="3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x14ac:dyDescent="0.2">
      <c r="A1028" s="2"/>
      <c r="B1028" s="3"/>
      <c r="C1028" s="3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x14ac:dyDescent="0.2">
      <c r="A1029" s="2"/>
      <c r="B1029" s="3"/>
      <c r="C1029" s="3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x14ac:dyDescent="0.2">
      <c r="A1030" s="2"/>
      <c r="B1030" s="3"/>
      <c r="C1030" s="3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x14ac:dyDescent="0.2">
      <c r="A1031" s="2"/>
      <c r="B1031" s="3"/>
      <c r="C1031" s="3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x14ac:dyDescent="0.2">
      <c r="A1032" s="2"/>
      <c r="B1032" s="3"/>
      <c r="C1032" s="3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x14ac:dyDescent="0.2">
      <c r="A1033" s="2"/>
      <c r="B1033" s="3"/>
      <c r="C1033" s="3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x14ac:dyDescent="0.2">
      <c r="A1034" s="2"/>
      <c r="B1034" s="3"/>
      <c r="C1034" s="3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x14ac:dyDescent="0.2">
      <c r="A1035" s="2"/>
      <c r="B1035" s="3"/>
      <c r="C1035" s="3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x14ac:dyDescent="0.2">
      <c r="A1036" s="2"/>
      <c r="B1036" s="3"/>
      <c r="C1036" s="3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x14ac:dyDescent="0.2">
      <c r="A1037" s="2"/>
      <c r="B1037" s="3"/>
      <c r="C1037" s="3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x14ac:dyDescent="0.2">
      <c r="A1038" s="2"/>
      <c r="B1038" s="3"/>
      <c r="C1038" s="3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x14ac:dyDescent="0.2">
      <c r="A1039" s="2"/>
      <c r="B1039" s="3"/>
      <c r="C1039" s="3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x14ac:dyDescent="0.2">
      <c r="A1040" s="2"/>
      <c r="B1040" s="3"/>
      <c r="C1040" s="3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x14ac:dyDescent="0.2">
      <c r="A1041" s="2"/>
      <c r="B1041" s="3"/>
      <c r="C1041" s="3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x14ac:dyDescent="0.2">
      <c r="A1042" s="2"/>
      <c r="B1042" s="3"/>
      <c r="C1042" s="3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x14ac:dyDescent="0.2">
      <c r="A1043" s="2"/>
      <c r="B1043" s="3"/>
      <c r="C1043" s="3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x14ac:dyDescent="0.2">
      <c r="A1044" s="2"/>
      <c r="B1044" s="3"/>
      <c r="C1044" s="3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x14ac:dyDescent="0.2">
      <c r="A1045" s="2"/>
      <c r="B1045" s="3"/>
      <c r="C1045" s="3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x14ac:dyDescent="0.2">
      <c r="A1046" s="2"/>
      <c r="B1046" s="3"/>
      <c r="C1046" s="3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x14ac:dyDescent="0.2">
      <c r="A1047" s="2"/>
      <c r="B1047" s="3"/>
      <c r="C1047" s="3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x14ac:dyDescent="0.2">
      <c r="A1048" s="2"/>
      <c r="B1048" s="3"/>
      <c r="C1048" s="3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x14ac:dyDescent="0.2">
      <c r="A1049" s="2"/>
      <c r="B1049" s="3"/>
      <c r="C1049" s="3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x14ac:dyDescent="0.2">
      <c r="A1050" s="2"/>
      <c r="B1050" s="3"/>
      <c r="C1050" s="3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x14ac:dyDescent="0.2">
      <c r="A1051" s="2"/>
      <c r="B1051" s="3"/>
      <c r="C1051" s="3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x14ac:dyDescent="0.2">
      <c r="A1052" s="2"/>
      <c r="B1052" s="3"/>
      <c r="C1052" s="3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x14ac:dyDescent="0.2">
      <c r="A1053" s="2"/>
      <c r="B1053" s="3"/>
      <c r="C1053" s="3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x14ac:dyDescent="0.2">
      <c r="A1054" s="2"/>
      <c r="B1054" s="3"/>
      <c r="C1054" s="3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x14ac:dyDescent="0.2">
      <c r="A1055" s="2"/>
      <c r="B1055" s="3"/>
      <c r="C1055" s="3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x14ac:dyDescent="0.2">
      <c r="A1056" s="2"/>
      <c r="B1056" s="3"/>
      <c r="C1056" s="3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x14ac:dyDescent="0.2">
      <c r="A1057" s="2"/>
      <c r="B1057" s="3"/>
      <c r="C1057" s="3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x14ac:dyDescent="0.2">
      <c r="A1058" s="2"/>
      <c r="B1058" s="3"/>
      <c r="C1058" s="3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x14ac:dyDescent="0.2">
      <c r="A1059" s="2"/>
      <c r="B1059" s="3"/>
      <c r="C1059" s="3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x14ac:dyDescent="0.2">
      <c r="A1060" s="2"/>
      <c r="B1060" s="3"/>
      <c r="C1060" s="3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x14ac:dyDescent="0.2">
      <c r="A1061" s="2"/>
      <c r="B1061" s="3"/>
      <c r="C1061" s="3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x14ac:dyDescent="0.2">
      <c r="A1062" s="2"/>
      <c r="B1062" s="3"/>
      <c r="C1062" s="3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x14ac:dyDescent="0.2">
      <c r="A1063" s="2"/>
      <c r="B1063" s="3"/>
      <c r="C1063" s="3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x14ac:dyDescent="0.2">
      <c r="A1064" s="2"/>
      <c r="B1064" s="3"/>
      <c r="C1064" s="3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x14ac:dyDescent="0.2">
      <c r="A1065" s="2"/>
      <c r="B1065" s="3"/>
      <c r="C1065" s="3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x14ac:dyDescent="0.2">
      <c r="A1066" s="2"/>
      <c r="B1066" s="3"/>
      <c r="C1066" s="3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x14ac:dyDescent="0.2">
      <c r="A1067" s="2"/>
      <c r="B1067" s="3"/>
      <c r="C1067" s="3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x14ac:dyDescent="0.2">
      <c r="A1068" s="2"/>
      <c r="B1068" s="3"/>
      <c r="C1068" s="3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x14ac:dyDescent="0.2">
      <c r="A1069" s="2"/>
      <c r="B1069" s="3"/>
      <c r="C1069" s="3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x14ac:dyDescent="0.2">
      <c r="A1070" s="2"/>
      <c r="B1070" s="3"/>
      <c r="C1070" s="3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x14ac:dyDescent="0.2">
      <c r="A1071" s="2"/>
      <c r="B1071" s="3"/>
      <c r="C1071" s="3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x14ac:dyDescent="0.2">
      <c r="A1072" s="2"/>
      <c r="B1072" s="3"/>
      <c r="C1072" s="3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75" x14ac:dyDescent="0.2">
      <c r="A1073" s="2"/>
      <c r="B1073" s="3"/>
      <c r="C1073" s="3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75" x14ac:dyDescent="0.2">
      <c r="A1074" s="2"/>
      <c r="B1074" s="3"/>
      <c r="C1074" s="3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2.75" x14ac:dyDescent="0.2">
      <c r="A1075" s="2"/>
      <c r="B1075" s="3"/>
      <c r="C1075" s="3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2.75" x14ac:dyDescent="0.2">
      <c r="A1076" s="2"/>
      <c r="B1076" s="3"/>
      <c r="C1076" s="3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2.75" x14ac:dyDescent="0.2">
      <c r="A1077" s="2"/>
      <c r="B1077" s="3"/>
      <c r="C1077" s="3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2.75" x14ac:dyDescent="0.2">
      <c r="A1078" s="2"/>
      <c r="B1078" s="3"/>
      <c r="C1078" s="3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2.75" x14ac:dyDescent="0.2">
      <c r="A1079" s="2"/>
      <c r="B1079" s="3"/>
      <c r="C1079" s="3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2.75" x14ac:dyDescent="0.2">
      <c r="A1080" s="2"/>
      <c r="B1080" s="3"/>
      <c r="C1080" s="3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2.75" x14ac:dyDescent="0.2">
      <c r="A1081" s="2"/>
      <c r="B1081" s="3"/>
      <c r="C1081" s="3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2.75" x14ac:dyDescent="0.2">
      <c r="A1082" s="2"/>
      <c r="B1082" s="3"/>
      <c r="C1082" s="3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2.75" x14ac:dyDescent="0.2">
      <c r="A1083" s="2"/>
      <c r="B1083" s="3"/>
      <c r="C1083" s="3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2.75" x14ac:dyDescent="0.2">
      <c r="A1084" s="2"/>
      <c r="B1084" s="3"/>
      <c r="C1084" s="3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2.75" x14ac:dyDescent="0.2">
      <c r="A1085" s="2"/>
      <c r="B1085" s="3"/>
      <c r="C1085" s="3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2.75" x14ac:dyDescent="0.2">
      <c r="A1086" s="2"/>
      <c r="B1086" s="3"/>
      <c r="C1086" s="3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2.75" x14ac:dyDescent="0.2">
      <c r="A1087" s="2"/>
      <c r="B1087" s="3"/>
      <c r="C1087" s="3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2.75" x14ac:dyDescent="0.2">
      <c r="A1088" s="2"/>
      <c r="B1088" s="3"/>
      <c r="C1088" s="3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2.75" x14ac:dyDescent="0.2">
      <c r="A1089" s="2"/>
      <c r="B1089" s="3"/>
      <c r="C1089" s="3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2.75" x14ac:dyDescent="0.2">
      <c r="A1090" s="2"/>
      <c r="B1090" s="3"/>
      <c r="C1090" s="3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2.75" x14ac:dyDescent="0.2">
      <c r="A1091" s="2"/>
      <c r="B1091" s="3"/>
      <c r="C1091" s="3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2.75" x14ac:dyDescent="0.2">
      <c r="A1092" s="2"/>
      <c r="B1092" s="3"/>
      <c r="C1092" s="3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2.75" x14ac:dyDescent="0.2">
      <c r="A1093" s="2"/>
      <c r="B1093" s="3"/>
      <c r="C1093" s="3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2.75" x14ac:dyDescent="0.2">
      <c r="A1094" s="2"/>
      <c r="B1094" s="3"/>
      <c r="C1094" s="3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2.75" x14ac:dyDescent="0.2">
      <c r="A1095" s="2"/>
      <c r="B1095" s="3"/>
      <c r="C1095" s="3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2.75" x14ac:dyDescent="0.2">
      <c r="A1096" s="2"/>
      <c r="B1096" s="3"/>
      <c r="C1096" s="3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2.75" x14ac:dyDescent="0.2">
      <c r="A1097" s="2"/>
      <c r="B1097" s="3"/>
      <c r="C1097" s="3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2.75" x14ac:dyDescent="0.2">
      <c r="A1098" s="2"/>
      <c r="B1098" s="3"/>
      <c r="C1098" s="3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2.75" x14ac:dyDescent="0.2">
      <c r="A1099" s="2"/>
      <c r="B1099" s="3"/>
      <c r="C1099" s="3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2.75" x14ac:dyDescent="0.2">
      <c r="A1100" s="2"/>
      <c r="B1100" s="3"/>
      <c r="C1100" s="3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2.75" x14ac:dyDescent="0.2">
      <c r="A1101" s="2"/>
      <c r="B1101" s="3"/>
      <c r="C1101" s="3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2.75" x14ac:dyDescent="0.2">
      <c r="A1102" s="2"/>
      <c r="B1102" s="3"/>
      <c r="C1102" s="3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2.75" x14ac:dyDescent="0.2">
      <c r="A1103" s="2"/>
      <c r="B1103" s="3"/>
      <c r="C1103" s="3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2.75" x14ac:dyDescent="0.2">
      <c r="A1104" s="2"/>
      <c r="B1104" s="3"/>
      <c r="C1104" s="3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2.75" x14ac:dyDescent="0.2">
      <c r="A1105" s="2"/>
      <c r="B1105" s="3"/>
      <c r="C1105" s="3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2.75" x14ac:dyDescent="0.2">
      <c r="A1106" s="2"/>
      <c r="B1106" s="3"/>
      <c r="C1106" s="3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</sheetData>
  <mergeCells count="1">
    <mergeCell ref="B1:N1"/>
  </mergeCells>
  <printOptions horizontalCentered="1" gridLines="1"/>
  <pageMargins left="0.22700000000000001" right="0.22700000000000001" top="0.32699167657550537" bottom="0.22700000000000001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 nivel 2 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MONDRAGON GARCIA</dc:creator>
  <cp:lastModifiedBy>HUMBERTO MONDRAGON GARCIA</cp:lastModifiedBy>
  <dcterms:created xsi:type="dcterms:W3CDTF">2026-05-04T02:17:38Z</dcterms:created>
  <dcterms:modified xsi:type="dcterms:W3CDTF">2026-05-04T02:21:14Z</dcterms:modified>
</cp:coreProperties>
</file>